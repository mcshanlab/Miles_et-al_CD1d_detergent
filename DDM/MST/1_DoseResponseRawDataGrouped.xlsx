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1" documentId="11_009C43031D75E9028280966833397DAFF6BECCEB" xr6:coauthVersionLast="47" xr6:coauthVersionMax="47" xr10:uidLastSave="{173E7337-654D-4087-9440-15C627B6A3F6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1" i="3" l="1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<sst xmlns="http://schemas.openxmlformats.org/spreadsheetml/2006/main" count="87" uniqueCount="58">
  <si>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</si>
  <si>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</si>
  <si>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</si>
  <si>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</si>
  <si>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</si>
  <si>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</si>
  <si>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</si>
  <si>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</si>
  <si>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</si>
  <si>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#4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</si>
  <si>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</si>
  <si>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</si>
  <si>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</si>
  <si>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</si>
  <si>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</si>
  <si>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</si>
  <si>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</si>
  <si>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</si>
  <si>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</si>
  <si>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</si>
  <si>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</si>
  <si>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</si>
  <si>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</si>
  <si>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</si>
  <si>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</si>
  <si>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Date of Measurement:</t>
  </si>
  <si>
    <t>2024-11-25 12:24:56.64 → 2024-11-25 13:18:03.103</t>
  </si>
  <si>
    <t>Capillary Type:</t>
  </si>
  <si>
    <t>Unspecified container/capillary type</t>
  </si>
  <si>
    <t>Target:</t>
  </si>
  <si>
    <t>CD1d</t>
  </si>
  <si>
    <t>TargetConcentration:</t>
  </si>
  <si>
    <t>Ligand:</t>
  </si>
  <si>
    <t>DDM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</si>
  <si>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</si>
  <si>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</si>
  <si>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</si>
  <si>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</si>
  <si>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</si>
  <si>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</si>
  <si>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</si>
  <si>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Fit Results (Kd)</t>
  </si>
  <si>
    <t>Fit Model:</t>
  </si>
  <si>
    <t>Kd</t>
  </si>
  <si>
    <t>Bound</t>
  </si>
  <si>
    <t>Unbound</t>
  </si>
  <si>
    <t>TargetConc</t>
  </si>
  <si>
    <t>Standard Deviation:</t>
  </si>
  <si>
    <t>Kd Confidence:</t>
  </si>
  <si>
    <t>Dose Response Curve</t>
  </si>
  <si>
    <t>Shifted Dose Response Curve of CD1d_100_DDM (#03)</t>
  </si>
  <si>
    <t>Shifted Dose Response Curve of CD1d_50_DDM (#02)</t>
  </si>
  <si>
    <t>Shifted Dose Response Curve of CD1d_100_DDM (#01)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</si>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</sst>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h:mm:ss.000"/>
    <numFmt numFmtId="165" formatCode="General\s"/>
    <numFmt numFmtId="166" formatCode="General\%"/>
    <numFmt numFmtId="167" formatCode="0.0\°\C"/>
    <numFmt numFmtId="168" formatCode="General\ \_xd83d_\_xdd12_"/>
    <numFmt numFmtId="169" formatCode="\±General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168" fontId="0" fillId="4" borderId="1" xfId="0" applyNumberFormat="1" applyFill="1" applyBorder="1" applyAlignment="1">
      <alignment horizontal="left" vertical="top"/>
    </xf>
    <xf numFmtId="169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kd Fit</c:v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'Fit-Values'!$A$2:$A$151</c:f>
              <c:numCache>
                <c:formatCode>General</c:formatCode>
                <c:ptCount val="150"/>
                <c:pt idx="0">
                  <c:v>9.5043947771080199E-4</c:v>
                </c:pt>
                <c:pt idx="1">
                  <c:v>9.0333520079118295E-4</c:v>
                </c:pt>
                <c:pt idx="2">
                  <c:v>8.5856543643775404E-4</c:v>
                </c:pt>
                <c:pt idx="3">
                  <c:v>8.1601448498844599E-4</c:v>
                </c:pt>
                <c:pt idx="4">
                  <c:v>7.7557238091686802E-4</c:v>
                </c:pt>
                <c:pt idx="5">
                  <c:v>7.3713460864555103E-4</c:v>
                </c:pt>
                <c:pt idx="6">
                  <c:v>7.0060183244363401E-4</c:v>
                </c:pt>
                <c:pt idx="7">
                  <c:v>6.6587963971095898E-4</c:v>
                </c:pt>
                <c:pt idx="8">
                  <c:v>6.3287829698513995E-4</c:v>
                </c:pt>
                <c:pt idx="9">
                  <c:v>6.0151251804105895E-4</c:v>
                </c:pt>
                <c:pt idx="10">
                  <c:v>5.7170124348345397E-4</c:v>
                </c:pt>
                <c:pt idx="11">
                  <c:v>5.4336743126302996E-4</c:v>
                </c:pt>
                <c:pt idx="12">
                  <c:v>5.16437857574694E-4</c:v>
                </c:pt>
                <c:pt idx="13">
                  <c:v>4.9084292762337797E-4</c:v>
                </c:pt>
                <c:pt idx="14">
                  <c:v>4.6651649576840402E-4</c:v>
                </c:pt>
                <c:pt idx="15">
                  <c:v>4.4339569458159598E-4</c:v>
                </c:pt>
                <c:pt idx="16">
                  <c:v>4.2142077237735E-4</c:v>
                </c:pt>
                <c:pt idx="17">
                  <c:v>4.0053493879481199E-4</c:v>
                </c:pt>
                <c:pt idx="18">
                  <c:v>3.8068421803306898E-4</c:v>
                </c:pt>
                <c:pt idx="19">
                  <c:v>3.61817309360095E-4</c:v>
                </c:pt>
                <c:pt idx="20">
                  <c:v>3.4388545453493702E-4</c:v>
                </c:pt>
                <c:pt idx="21">
                  <c:v>3.2684231180052701E-4</c:v>
                </c:pt>
                <c:pt idx="22">
                  <c:v>3.1064383612148399E-4</c:v>
                </c:pt>
                <c:pt idx="23">
                  <c:v>2.9524816535738302E-4</c:v>
                </c:pt>
                <c:pt idx="24">
                  <c:v>2.8061551207734402E-4</c:v>
                </c:pt>
                <c:pt idx="25">
                  <c:v>2.6670806073634E-4</c:v>
                </c:pt>
                <c:pt idx="26">
                  <c:v>2.5348986994750799E-4</c:v>
                </c:pt>
                <c:pt idx="27">
                  <c:v>2.4092677959788899E-4</c:v>
                </c:pt>
                <c:pt idx="28">
                  <c:v>2.28986322567563E-4</c:v>
                </c:pt>
                <c:pt idx="29">
                  <c:v>2.1763764082403201E-4</c:v>
                </c:pt>
                <c:pt idx="30">
                  <c:v>2.0685140567500401E-4</c:v>
                </c:pt>
                <c:pt idx="31">
                  <c:v>1.9659974197349601E-4</c:v>
                </c:pt>
                <c:pt idx="32">
                  <c:v>1.8685615607936799E-4</c:v>
                </c:pt>
                <c:pt idx="33">
                  <c:v>1.7759546739112299E-4</c:v>
                </c:pt>
                <c:pt idx="34">
                  <c:v>1.68793743271024E-4</c:v>
                </c:pt>
                <c:pt idx="35">
                  <c:v>1.6042823719536399E-4</c:v>
                </c:pt>
                <c:pt idx="36">
                  <c:v>1.52477329970026E-4</c:v>
                </c:pt>
                <c:pt idx="37">
                  <c:v>1.4492047385944901E-4</c:v>
                </c:pt>
                <c:pt idx="38">
                  <c:v>1.3773813948457701E-4</c:v>
                </c:pt>
                <c:pt idx="39">
                  <c:v>1.30911765352579E-4</c:v>
                </c:pt>
                <c:pt idx="40">
                  <c:v>1.2442370988790399E-4</c:v>
                </c:pt>
                <c:pt idx="41">
                  <c:v>1.182572058407E-4</c:v>
                </c:pt>
                <c:pt idx="42">
                  <c:v>1.12396316954774E-4</c:v>
                </c:pt>
                <c:pt idx="43">
                  <c:v>1.06825896783113E-4</c:v>
                </c:pt>
                <c:pt idx="44">
                  <c:v>1.0153154954453E-4</c:v>
                </c:pt>
                <c:pt idx="45">
                  <c:v>9.6499592920271405E-5</c:v>
                </c:pt>
                <c:pt idx="46">
                  <c:v>9.1717022694447805E-5</c:v>
                </c:pt>
                <c:pt idx="47">
                  <c:v>8.7171479146900795E-5</c:v>
                </c:pt>
                <c:pt idx="48">
                  <c:v>8.2851215111658395E-5</c:v>
                </c:pt>
                <c:pt idx="49">
                  <c:v>7.8745065618429993E-5</c:v>
                </c:pt>
                <c:pt idx="50">
                  <c:v>7.4842419038683404E-5</c:v>
                </c:pt>
                <c:pt idx="51">
                  <c:v>7.1133189661739301E-5</c:v>
                </c:pt>
                <c:pt idx="52">
                  <c:v>6.7607791630006899E-5</c:v>
                </c:pt>
                <c:pt idx="53">
                  <c:v>6.4257114166004495E-5</c:v>
                </c:pt>
                <c:pt idx="54">
                  <c:v>6.1072498027140701E-5</c:v>
                </c:pt>
                <c:pt idx="55">
                  <c:v>5.8045713127409599E-5</c:v>
                </c:pt>
                <c:pt idx="56">
                  <c:v>5.51689372681662E-5</c:v>
                </c:pt>
                <c:pt idx="57">
                  <c:v>5.2434735923015899E-5</c:v>
                </c:pt>
                <c:pt idx="58">
                  <c:v>4.9836043024575102E-5</c:v>
                </c:pt>
                <c:pt idx="59">
                  <c:v>4.7366142703450199E-5</c:v>
                </c:pt>
                <c:pt idx="60">
                  <c:v>4.5018651932242601E-5</c:v>
                </c:pt>
                <c:pt idx="61">
                  <c:v>4.2787504029725003E-5</c:v>
                </c:pt>
                <c:pt idx="62">
                  <c:v>4.0666932982560702E-5</c:v>
                </c:pt>
                <c:pt idx="63">
                  <c:v>3.8651458544045202E-5</c:v>
                </c:pt>
                <c:pt idx="64">
                  <c:v>3.6735872071362999E-5</c:v>
                </c:pt>
                <c:pt idx="65">
                  <c:v>3.4915223064757102E-5</c:v>
                </c:pt>
                <c:pt idx="66">
                  <c:v>3.3184806373823901E-5</c:v>
                </c:pt>
                <c:pt idx="67">
                  <c:v>3.15401500378713E-5</c:v>
                </c:pt>
                <c:pt idx="68">
                  <c:v>2.99770037289147E-5</c:v>
                </c:pt>
                <c:pt idx="69">
                  <c:v>2.8491327767444502E-5</c:v>
                </c:pt>
                <c:pt idx="70">
                  <c:v>2.7079282682577198E-5</c:v>
                </c:pt>
                <c:pt idx="71">
                  <c:v>2.57372192896118E-5</c:v>
                </c:pt>
                <c:pt idx="72">
                  <c:v>2.4461669259347101E-5</c:v>
                </c:pt>
                <c:pt idx="73">
                  <c:v>2.32493361547882E-5</c:v>
                </c:pt>
                <c:pt idx="74">
                  <c:v>2.20970869120798E-5</c:v>
                </c:pt>
                <c:pt idx="75">
                  <c:v>2.1001943743647301E-5</c:v>
                </c:pt>
                <c:pt idx="76">
                  <c:v>1.9961076442623801E-5</c:v>
                </c:pt>
                <c:pt idx="77">
                  <c:v>1.89717950686728E-5</c:v>
                </c:pt>
                <c:pt idx="78">
                  <c:v>1.8031542996305699E-5</c:v>
                </c:pt>
                <c:pt idx="79">
                  <c:v>1.7137890307728699E-5</c:v>
                </c:pt>
                <c:pt idx="80">
                  <c:v>1.6288527513142699E-5</c:v>
                </c:pt>
                <c:pt idx="81">
                  <c:v>1.5481259582269301E-5</c:v>
                </c:pt>
                <c:pt idx="82">
                  <c:v>1.47140002716774E-5</c:v>
                </c:pt>
                <c:pt idx="83">
                  <c:v>1.3984766733249699E-5</c:v>
                </c:pt>
                <c:pt idx="84">
                  <c:v>1.3291674389857199E-5</c:v>
                </c:pt>
                <c:pt idx="85">
                  <c:v>1.2632932064998E-5</c:v>
                </c:pt>
                <c:pt idx="86">
                  <c:v>1.20068373538127E-5</c:v>
                </c:pt>
                <c:pt idx="87">
                  <c:v>1.1411772223516301E-5</c:v>
                </c:pt>
                <c:pt idx="88">
                  <c:v>1.0846198831873499E-5</c:v>
                </c:pt>
                <c:pt idx="89">
                  <c:v>1.03086555529133E-5</c:v>
                </c:pt>
                <c:pt idx="90">
                  <c:v>9.7977531996115093E-6</c:v>
                </c:pt>
                <c:pt idx="91">
                  <c:v>9.3121714337780993E-6</c:v>
                </c:pt>
                <c:pt idx="92">
                  <c:v>8.8506553538735095E-6</c:v>
                </c:pt>
                <c:pt idx="93">
                  <c:v>8.4120122519338493E-6</c:v>
                </c:pt>
                <c:pt idx="94">
                  <c:v>7.9951085312248792E-6</c:v>
                </c:pt>
                <c:pt idx="95">
                  <c:v>7.5988667766585503E-6</c:v>
                </c:pt>
                <c:pt idx="96">
                  <c:v>7.2222629704013204E-6</c:v>
                </c:pt>
                <c:pt idx="97">
                  <c:v>6.8643238454782997E-6</c:v>
                </c:pt>
                <c:pt idx="98">
                  <c:v>6.5241243705342E-6</c:v>
                </c:pt>
                <c:pt idx="99">
                  <c:v>6.2007853592508403E-6</c:v>
                </c:pt>
                <c:pt idx="100">
                  <c:v>5.8934711982431598E-6</c:v>
                </c:pt>
                <c:pt idx="101">
                  <c:v>5.6013876875618803E-6</c:v>
                </c:pt>
                <c:pt idx="102">
                  <c:v>5.3237799882220298E-6</c:v>
                </c:pt>
                <c:pt idx="103">
                  <c:v>5.0599306714529699E-6</c:v>
                </c:pt>
                <c:pt idx="104">
                  <c:v>4.8091578646286298E-6</c:v>
                </c:pt>
                <c:pt idx="105">
                  <c:v>4.57081348908643E-6</c:v>
                </c:pt>
                <c:pt idx="106">
                  <c:v>4.3442815852808004E-6</c:v>
                </c:pt>
                <c:pt idx="107">
                  <c:v>4.12897672094294E-6</c:v>
                </c:pt>
                <c:pt idx="108">
                  <c:v>3.9243424781330697E-6</c:v>
                </c:pt>
                <c:pt idx="109">
                  <c:v>3.7298500152751101E-6</c:v>
                </c:pt>
                <c:pt idx="110">
                  <c:v>3.5449967004577E-6</c:v>
                </c:pt>
                <c:pt idx="111">
                  <c:v>3.36930481246953E-6</c:v>
                </c:pt>
                <c:pt idx="112">
                  <c:v>3.2023203062120301E-6</c:v>
                </c:pt>
                <c:pt idx="113">
                  <c:v>3.0436116392988598E-6</c:v>
                </c:pt>
                <c:pt idx="114">
                  <c:v>2.8927686568097299E-6</c:v>
                </c:pt>
                <c:pt idx="115">
                  <c:v>2.7494015313164202E-6</c:v>
                </c:pt>
                <c:pt idx="116">
                  <c:v>2.6131397554416598E-6</c:v>
                </c:pt>
                <c:pt idx="117">
                  <c:v>2.4836311843472999E-6</c:v>
                </c:pt>
                <c:pt idx="118">
                  <c:v>2.3605411256773101E-6</c:v>
                </c:pt>
                <c:pt idx="119">
                  <c:v>2.24355147460361E-6</c:v>
                </c:pt>
                <c:pt idx="120">
                  <c:v>2.1323598917395601E-6</c:v>
                </c:pt>
                <c:pt idx="121">
                  <c:v>2.0266790217964101E-6</c:v>
                </c:pt>
                <c:pt idx="122">
                  <c:v>1.92623575096362E-6</c:v>
                </c:pt>
                <c:pt idx="123">
                  <c:v>1.8307705010937301E-6</c:v>
                </c:pt>
                <c:pt idx="124">
                  <c:v>1.7400365588678701E-6</c:v>
                </c:pt>
                <c:pt idx="125">
                  <c:v>1.65379943820808E-6</c:v>
                </c:pt>
                <c:pt idx="126">
                  <c:v>1.57183627428891E-6</c:v>
                </c:pt>
                <c:pt idx="127">
                  <c:v>1.49393524758204E-6</c:v>
                </c:pt>
                <c:pt idx="128">
                  <c:v>1.4198950364456299E-6</c:v>
                </c:pt>
                <c:pt idx="129">
                  <c:v>1.3495242968435499E-6</c:v>
                </c:pt>
                <c:pt idx="130">
                  <c:v>1.28264116785002E-6</c:v>
                </c:pt>
                <c:pt idx="131">
                  <c:v>1.21907280166175E-6</c:v>
                </c:pt>
                <c:pt idx="132">
                  <c:v>1.1586549169028299E-6</c:v>
                </c:pt>
                <c:pt idx="133">
                  <c:v>1.10123137406818E-6</c:v>
                </c:pt>
                <c:pt idx="134">
                  <c:v>1.04665377200811E-6</c:v>
                </c:pt>
                <c:pt idx="135">
                  <c:v>9.9478106441143197E-7</c:v>
                </c:pt>
                <c:pt idx="136">
                  <c:v>9.4547919529579705E-7</c:v>
                </c:pt>
                <c:pt idx="137">
                  <c:v>8.9862075256336697E-7</c:v>
                </c:pt>
                <c:pt idx="138">
                  <c:v>8.5408463872641405E-7</c:v>
                </c:pt>
                <c:pt idx="139">
                  <c:v>8.1175575795195304E-7</c:v>
                </c:pt>
                <c:pt idx="140">
                  <c:v>7.7152471861659004E-7</c:v>
                </c:pt>
                <c:pt idx="141">
                  <c:v>7.3328755060292597E-7</c:v>
                </c:pt>
                <c:pt idx="142">
                  <c:v>6.9694543660687795E-7</c:v>
                </c:pt>
                <c:pt idx="143">
                  <c:v>6.6240445676156803E-7</c:v>
                </c:pt>
                <c:pt idx="144">
                  <c:v>6.2957534591777196E-7</c:v>
                </c:pt>
                <c:pt idx="145">
                  <c:v>5.9837326295368504E-7</c:v>
                </c:pt>
                <c:pt idx="146">
                  <c:v>5.6871757151780898E-7</c:v>
                </c:pt>
                <c:pt idx="147">
                  <c:v>5.4053163163834205E-7</c:v>
                </c:pt>
                <c:pt idx="148">
                  <c:v>5.1374260166051397E-7</c:v>
                </c:pt>
                <c:pt idx="149">
                  <c:v>4.88281250000007E-7</c:v>
                </c:pt>
              </c:numCache>
            </c:numRef>
          </c:xVal>
          <c:yVal>
            <c:numRef>
              <c:f>'Fit-Values'!$B$2:$B$151</c:f>
              <c:numCache>
                <c:formatCode>General</c:formatCode>
                <c:ptCount val="150"/>
                <c:pt idx="0">
                  <c:v>871.71549301347306</c:v>
                </c:pt>
                <c:pt idx="1">
                  <c:v>871.56930183687712</c:v>
                </c:pt>
                <c:pt idx="2">
                  <c:v>871.4162034923246</c:v>
                </c:pt>
                <c:pt idx="3">
                  <c:v>871.25590876623551</c:v>
                </c:pt>
                <c:pt idx="4">
                  <c:v>871.0881200901689</c:v>
                </c:pt>
                <c:pt idx="5">
                  <c:v>870.91253169520621</c:v>
                </c:pt>
                <c:pt idx="6">
                  <c:v>870.72882981959128</c:v>
                </c:pt>
                <c:pt idx="7">
                  <c:v>870.53669297369856</c:v>
                </c:pt>
                <c:pt idx="8">
                  <c:v>870.33579226782615</c:v>
                </c:pt>
                <c:pt idx="9">
                  <c:v>870.12579180873956</c:v>
                </c:pt>
                <c:pt idx="10">
                  <c:v>869.90634916969759</c:v>
                </c:pt>
                <c:pt idx="11">
                  <c:v>869.67711594014372</c:v>
                </c:pt>
                <c:pt idx="12">
                  <c:v>869.43773836051878</c:v>
                </c:pt>
                <c:pt idx="13">
                  <c:v>869.18785804805259</c:v>
                </c:pt>
                <c:pt idx="14">
                  <c:v>868.92711281866343</c:v>
                </c:pt>
                <c:pt idx="15">
                  <c:v>868.65513761098543</c:v>
                </c:pt>
                <c:pt idx="16">
                  <c:v>868.37156551739827</c:v>
                </c:pt>
                <c:pt idx="17">
                  <c:v>868.07602892677107</c:v>
                </c:pt>
                <c:pt idx="18">
                  <c:v>867.76816078328443</c:v>
                </c:pt>
                <c:pt idx="19">
                  <c:v>867.44759596544122</c:v>
                </c:pt>
                <c:pt idx="20">
                  <c:v>867.11397278755942</c:v>
                </c:pt>
                <c:pt idx="21">
                  <c:v>866.76693462652793</c:v>
                </c:pt>
                <c:pt idx="22">
                  <c:v>866.40613167444496</c:v>
                </c:pt>
                <c:pt idx="23">
                  <c:v>866.03122281704725</c:v>
                </c:pt>
                <c:pt idx="24">
                  <c:v>865.64187763651262</c:v>
                </c:pt>
                <c:pt idx="25">
                  <c:v>865.2377785353242</c:v>
                </c:pt>
                <c:pt idx="26">
                  <c:v>864.81862297648604</c:v>
                </c:pt>
                <c:pt idx="27">
                  <c:v>864.38412583317893</c:v>
                </c:pt>
                <c:pt idx="28">
                  <c:v>863.93402183896217</c:v>
                </c:pt>
                <c:pt idx="29">
                  <c:v>863.46806812773423</c:v>
                </c:pt>
                <c:pt idx="30">
                  <c:v>862.98604684957695</c:v>
                </c:pt>
                <c:pt idx="31">
                  <c:v>862.48776784699351</c:v>
                </c:pt>
                <c:pt idx="32">
                  <c:v>861.97307137280723</c:v>
                </c:pt>
                <c:pt idx="33">
                  <c:v>861.44183082897734</c:v>
                </c:pt>
                <c:pt idx="34">
                  <c:v>860.89395550269546</c:v>
                </c:pt>
                <c:pt idx="35">
                  <c:v>860.32939327383497</c:v>
                </c:pt>
                <c:pt idx="36">
                  <c:v>859.74813326534388</c:v>
                </c:pt>
                <c:pt idx="37">
                  <c:v>859.15020840630518</c:v>
                </c:pt>
                <c:pt idx="38">
                  <c:v>858.53569787509025</c:v>
                </c:pt>
                <c:pt idx="39">
                  <c:v>857.90472938884739</c:v>
                </c:pt>
                <c:pt idx="40">
                  <c:v>857.25748130437603</c:v>
                </c:pt>
                <c:pt idx="41">
                  <c:v>856.59418449449163</c:v>
                </c:pt>
                <c:pt idx="42">
                  <c:v>855.91512396435974</c:v>
                </c:pt>
                <c:pt idx="43">
                  <c:v>855.2206401724502</c:v>
                </c:pt>
                <c:pt idx="44">
                  <c:v>854.51113002207057</c:v>
                </c:pt>
                <c:pt idx="45">
                  <c:v>853.78704749133215</c:v>
                </c:pt>
                <c:pt idx="46">
                  <c:v>853.04890387208218</c:v>
                </c:pt>
                <c:pt idx="47">
                  <c:v>852.29726759169387</c:v>
                </c:pt>
                <c:pt idx="48">
                  <c:v>851.53276359572294</c:v>
                </c:pt>
                <c:pt idx="49">
                  <c:v>850.75607227429896</c:v>
                </c:pt>
                <c:pt idx="50">
                  <c:v>849.9679279205817</c:v>
                </c:pt>
                <c:pt idx="51">
                  <c:v>849.16911671578191</c:v>
                </c:pt>
                <c:pt idx="52">
                  <c:v>848.36047424164235</c:v>
                </c:pt>
                <c:pt idx="53">
                  <c:v>847.54288252819799</c:v>
                </c:pt>
                <c:pt idx="54">
                  <c:v>846.7172666518652</c:v>
                </c:pt>
                <c:pt idx="55">
                  <c:v>845.88459090593346</c:v>
                </c:pt>
                <c:pt idx="56">
                  <c:v>845.04585457262056</c:v>
                </c:pt>
                <c:pt idx="57">
                  <c:v>844.20208733268748</c:v>
                </c:pt>
                <c:pt idx="58">
                  <c:v>843.35434435484126</c:v>
                </c:pt>
                <c:pt idx="59">
                  <c:v>842.50370111305187</c:v>
                </c:pt>
                <c:pt idx="60">
                  <c:v>841.65124798452553</c:v>
                </c:pt>
                <c:pt idx="61">
                  <c:v>840.79808468553802</c:v>
                </c:pt>
                <c:pt idx="62">
                  <c:v>839.94531460490703</c:v>
                </c:pt>
                <c:pt idx="63">
                  <c:v>839.09403909724119</c:v>
                </c:pt>
                <c:pt idx="64">
                  <c:v>838.24535179847021</c:v>
                </c:pt>
                <c:pt idx="65">
                  <c:v>837.40033302600955</c:v>
                </c:pt>
                <c:pt idx="66">
                  <c:v>836.56004432417888</c:v>
                </c:pt>
                <c:pt idx="67">
                  <c:v>835.72552321288504</c:v>
                </c:pt>
                <c:pt idx="68">
                  <c:v>834.89777819371272</c:v>
                </c:pt>
                <c:pt idx="69">
                  <c:v>834.07778406295779</c:v>
                </c:pt>
                <c:pt idx="70">
                  <c:v>833.26647757558521</c:v>
                </c:pt>
                <c:pt idx="71">
                  <c:v>832.46475349797299</c:v>
                </c:pt>
                <c:pt idx="72">
                  <c:v>831.67346108056438</c:v>
                </c:pt>
                <c:pt idx="73">
                  <c:v>830.89340097459888</c:v>
                </c:pt>
                <c:pt idx="74">
                  <c:v>830.12532260996704</c:v>
                </c:pt>
                <c:pt idx="75">
                  <c:v>829.36992204406761</c:v>
                </c:pt>
                <c:pt idx="76">
                  <c:v>828.62784028453768</c:v>
                </c:pt>
                <c:pt idx="77">
                  <c:v>827.89966208212229</c:v>
                </c:pt>
                <c:pt idx="78">
                  <c:v>827.18591518378867</c:v>
                </c:pt>
                <c:pt idx="79">
                  <c:v>826.48707003036623</c:v>
                </c:pt>
                <c:pt idx="80">
                  <c:v>825.80353987811566</c:v>
                </c:pt>
                <c:pt idx="81">
                  <c:v>825.13568131924364</c:v>
                </c:pt>
                <c:pt idx="82">
                  <c:v>824.48379517271576</c:v>
                </c:pt>
                <c:pt idx="83">
                  <c:v>823.84812771396821</c:v>
                </c:pt>
                <c:pt idx="84">
                  <c:v>823.22887220989389</c:v>
                </c:pt>
                <c:pt idx="85">
                  <c:v>822.62617072418175</c:v>
                </c:pt>
                <c:pt idx="86">
                  <c:v>822.04011615728689</c:v>
                </c:pt>
                <c:pt idx="87">
                  <c:v>821.47075448534838</c:v>
                </c:pt>
                <c:pt idx="88">
                  <c:v>820.91808716270702</c:v>
                </c:pt>
                <c:pt idx="89">
                  <c:v>820.38207365385995</c:v>
                </c:pt>
                <c:pt idx="90">
                  <c:v>819.86263406196724</c:v>
                </c:pt>
                <c:pt idx="91">
                  <c:v>819.35965182287157</c:v>
                </c:pt>
                <c:pt idx="92">
                  <c:v>818.87297643573424</c:v>
                </c:pt>
                <c:pt idx="93">
                  <c:v>818.40242620353285</c:v>
                </c:pt>
                <c:pt idx="94">
                  <c:v>817.94779095926276</c:v>
                </c:pt>
                <c:pt idx="95">
                  <c:v>817.50883475608805</c:v>
                </c:pt>
                <c:pt idx="96">
                  <c:v>817.0852985023098</c:v>
                </c:pt>
                <c:pt idx="97">
                  <c:v>816.67690252453565</c:v>
                </c:pt>
                <c:pt idx="98">
                  <c:v>816.28334904494625</c:v>
                </c:pt>
                <c:pt idx="99">
                  <c:v>815.90432456083852</c:v>
                </c:pt>
                <c:pt idx="100">
                  <c:v>815.5395021170491</c:v>
                </c:pt>
                <c:pt idx="101">
                  <c:v>815.18854346382147</c:v>
                </c:pt>
                <c:pt idx="102">
                  <c:v>814.85110109478319</c:v>
                </c:pt>
                <c:pt idx="103">
                  <c:v>814.52682016134179</c:v>
                </c:pt>
                <c:pt idx="104">
                  <c:v>814.21534026156917</c:v>
                </c:pt>
                <c:pt idx="105">
                  <c:v>813.91629710299776</c:v>
                </c:pt>
                <c:pt idx="106">
                  <c:v>813.62932404003664</c:v>
                </c:pt>
                <c:pt idx="107">
                  <c:v>813.35405348782376</c:v>
                </c:pt>
                <c:pt idx="108">
                  <c:v>813.09011821523927</c:v>
                </c:pt>
                <c:pt idx="109">
                  <c:v>812.8371525206727</c:v>
                </c:pt>
                <c:pt idx="110">
                  <c:v>812.59479329461897</c:v>
                </c:pt>
                <c:pt idx="111">
                  <c:v>812.36268097387108</c:v>
                </c:pt>
                <c:pt idx="112">
                  <c:v>812.14046039235109</c:v>
                </c:pt>
                <c:pt idx="113">
                  <c:v>811.92778153390373</c:v>
                </c:pt>
                <c:pt idx="114">
                  <c:v>811.72430019268324</c:v>
                </c:pt>
                <c:pt idx="115">
                  <c:v>811.52967854668475</c:v>
                </c:pt>
                <c:pt idx="116">
                  <c:v>811.34358565018226</c:v>
                </c:pt>
                <c:pt idx="117">
                  <c:v>811.16569785068782</c:v>
                </c:pt>
                <c:pt idx="118">
                  <c:v>810.99569913601408</c:v>
                </c:pt>
                <c:pt idx="119">
                  <c:v>810.83328141685899</c:v>
                </c:pt>
                <c:pt idx="120">
                  <c:v>810.67814475022374</c:v>
                </c:pt>
                <c:pt idx="121">
                  <c:v>810.52999750870129</c:v>
                </c:pt>
                <c:pt idx="122">
                  <c:v>810.38855650053631</c:v>
                </c:pt>
                <c:pt idx="123">
                  <c:v>810.25354704508686</c:v>
                </c:pt>
                <c:pt idx="124">
                  <c:v>810.12470300804807</c:v>
                </c:pt>
                <c:pt idx="125">
                  <c:v>810.00176680061611</c:v>
                </c:pt>
                <c:pt idx="126">
                  <c:v>809.88448934646669</c:v>
                </c:pt>
                <c:pt idx="127">
                  <c:v>809.77263002016889</c:v>
                </c:pt>
                <c:pt idx="128">
                  <c:v>809.66595656045388</c:v>
                </c:pt>
                <c:pt idx="129">
                  <c:v>809.56424496143211</c:v>
                </c:pt>
                <c:pt idx="130">
                  <c:v>809.46727934471232</c:v>
                </c:pt>
                <c:pt idx="131">
                  <c:v>809.3748518150561</c:v>
                </c:pt>
                <c:pt idx="132">
                  <c:v>809.28676230204974</c:v>
                </c:pt>
                <c:pt idx="133">
                  <c:v>809.20281839001029</c:v>
                </c:pt>
                <c:pt idx="134">
                  <c:v>809.12283513819079</c:v>
                </c:pt>
                <c:pt idx="135">
                  <c:v>809.04663489313884</c:v>
                </c:pt>
                <c:pt idx="136">
                  <c:v>808.97404709486523</c:v>
                </c:pt>
                <c:pt idx="137">
                  <c:v>808.90490807837318</c:v>
                </c:pt>
                <c:pt idx="138">
                  <c:v>808.83906087186517</c:v>
                </c:pt>
                <c:pt idx="139">
                  <c:v>808.77635499287703</c:v>
                </c:pt>
                <c:pt idx="140">
                  <c:v>808.71664624339962</c:v>
                </c:pt>
                <c:pt idx="141">
                  <c:v>808.65979650496024</c:v>
                </c:pt>
                <c:pt idx="142">
                  <c:v>808.60567353447129</c:v>
                </c:pt>
                <c:pt idx="143">
                  <c:v>808.55415076165684</c:v>
                </c:pt>
                <c:pt idx="144">
                  <c:v>808.50510708862464</c:v>
                </c:pt>
                <c:pt idx="145">
                  <c:v>808.45842669218507</c:v>
                </c:pt>
                <c:pt idx="146">
                  <c:v>808.41399882939891</c:v>
                </c:pt>
                <c:pt idx="147">
                  <c:v>808.37171764671643</c:v>
                </c:pt>
                <c:pt idx="148">
                  <c:v>808.33148199310949</c:v>
                </c:pt>
                <c:pt idx="149">
                  <c:v>808.29319523742583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2F-4D44-A716-C7507B34E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1"/>
          <c:order val="1"/>
          <c:tx>
            <c:v>Experiment 1 (#01)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RawData!A45:A56</c:f>
              <c:numCache>
                <c:formatCode>General</c:formatCode>
                <c:ptCount val="12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</c:numCache>
            </c:numRef>
          </c:xVal>
          <c:yVal>
            <c:numRef>
              <c:f>RawData!B45:B56</c:f>
              <c:numCache>
                <c:formatCode>General</c:formatCode>
                <c:ptCount val="12"/>
                <c:pt idx="0">
                  <c:v>864.08653872699301</c:v>
                </c:pt>
                <c:pt idx="1">
                  <c:v>867.17922265616596</c:v>
                </c:pt>
                <c:pt idx="2">
                  <c:v>862.519359911979</c:v>
                </c:pt>
                <c:pt idx="3">
                  <c:v>886.08699625469103</c:v>
                </c:pt>
                <c:pt idx="4">
                  <c:v>835.73795172394296</c:v>
                </c:pt>
                <c:pt idx="5">
                  <c:v>828.70453011713096</c:v>
                </c:pt>
                <c:pt idx="6">
                  <c:v>822.12917857193702</c:v>
                </c:pt>
                <c:pt idx="7">
                  <c:v>818.77910603369401</c:v>
                </c:pt>
                <c:pt idx="8">
                  <c:v>814.136174944186</c:v>
                </c:pt>
                <c:pt idx="9">
                  <c:v>809.83826271072496</c:v>
                </c:pt>
                <c:pt idx="10">
                  <c:v>811.81093527723601</c:v>
                </c:pt>
                <c:pt idx="11">
                  <c:v>808.62182811033904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2F-4D44-A716-C7507B34E85E}"/>
            </c:ext>
          </c:extLst>
        </c:ser>
        <c:ser>
          <c:idx val="2"/>
          <c:order val="2"/>
          <c:tx>
            <c:v>CD1d_100_DDM (#03) Shifted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RawData!E45:E57</c:f>
              <c:numCache>
                <c:formatCode>General</c:formatCode>
                <c:ptCount val="1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</c:numCache>
            </c:numRef>
          </c:xVal>
          <c:yVal>
            <c:numRef>
              <c:f>RawData!F45:F57</c:f>
              <c:numCache>
                <c:formatCode>General</c:formatCode>
                <c:ptCount val="13"/>
                <c:pt idx="0">
                  <c:v>845.52562624334996</c:v>
                </c:pt>
                <c:pt idx="1">
                  <c:v>856.90817085120898</c:v>
                </c:pt>
                <c:pt idx="2">
                  <c:v>856.58248384972603</c:v>
                </c:pt>
                <c:pt idx="3">
                  <c:v>851.70415056792501</c:v>
                </c:pt>
                <c:pt idx="4">
                  <c:v>844.05901894301905</c:v>
                </c:pt>
                <c:pt idx="5">
                  <c:v>842.94403426906797</c:v>
                </c:pt>
                <c:pt idx="6">
                  <c:v>835.74078089587204</c:v>
                </c:pt>
                <c:pt idx="7">
                  <c:v>827.24210956339095</c:v>
                </c:pt>
                <c:pt idx="8">
                  <c:v>821.41064443566302</c:v>
                </c:pt>
                <c:pt idx="9">
                  <c:v>816.64459032275397</c:v>
                </c:pt>
                <c:pt idx="10">
                  <c:v>814.783332051402</c:v>
                </c:pt>
                <c:pt idx="11">
                  <c:v>816.08514304564198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2F-4D44-A716-C7507B34E85E}"/>
            </c:ext>
          </c:extLst>
        </c:ser>
        <c:ser>
          <c:idx val="3"/>
          <c:order val="3"/>
          <c:tx>
            <c:v>CD1d_50_DDM (#02) Shifted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RawData!H45:H57</c:f>
              <c:numCache>
                <c:formatCode>General</c:formatCode>
                <c:ptCount val="1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</c:numCache>
            </c:numRef>
          </c:xVal>
          <c:yVal>
            <c:numRef>
              <c:f>RawData!I45:I57</c:f>
              <c:numCache>
                <c:formatCode>General</c:formatCode>
                <c:ptCount val="13"/>
                <c:pt idx="0">
                  <c:v>904.41681427833203</c:v>
                </c:pt>
                <c:pt idx="1">
                  <c:v>845.47931694947397</c:v>
                </c:pt>
                <c:pt idx="2">
                  <c:v>846.15871649964799</c:v>
                </c:pt>
                <c:pt idx="3">
                  <c:v>895.881267403332</c:v>
                </c:pt>
                <c:pt idx="4">
                  <c:v>838.79122977227803</c:v>
                </c:pt>
                <c:pt idx="5">
                  <c:v>823.88421865227997</c:v>
                </c:pt>
                <c:pt idx="6">
                  <c:v>816.31365600609695</c:v>
                </c:pt>
                <c:pt idx="7">
                  <c:v>819.27493375575398</c:v>
                </c:pt>
                <c:pt idx="8">
                  <c:v>809.213840502474</c:v>
                </c:pt>
                <c:pt idx="9">
                  <c:v>808.949995282175</c:v>
                </c:pt>
                <c:pt idx="10">
                  <c:v>814.99759112933498</c:v>
                </c:pt>
                <c:pt idx="11">
                  <c:v>806.26850480784196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2F-4D44-A716-C7507B34E85E}"/>
            </c:ext>
          </c:extLst>
        </c:ser>
        <c:ser>
          <c:idx val="4"/>
          <c:order val="4"/>
          <c:tx>
            <c:v>CD1d_100_DDM (#01) Shifted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RawData!K45:K57</c:f>
              <c:numCache>
                <c:formatCode>General</c:formatCode>
                <c:ptCount val="1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</c:numCache>
            </c:numRef>
          </c:xVal>
          <c:yVal>
            <c:numRef>
              <c:f>RawData!L45:L57</c:f>
              <c:numCache>
                <c:formatCode>General</c:formatCode>
                <c:ptCount val="13"/>
                <c:pt idx="0">
                  <c:v>842.31717565929796</c:v>
                </c:pt>
                <c:pt idx="1">
                  <c:v>899.15018016781403</c:v>
                </c:pt>
                <c:pt idx="2">
                  <c:v>884.81687938656398</c:v>
                </c:pt>
                <c:pt idx="3">
                  <c:v>910.67557079281403</c:v>
                </c:pt>
                <c:pt idx="4">
                  <c:v>824.36360645653394</c:v>
                </c:pt>
                <c:pt idx="5">
                  <c:v>819.28533743004402</c:v>
                </c:pt>
                <c:pt idx="6">
                  <c:v>814.33309881384105</c:v>
                </c:pt>
                <c:pt idx="7">
                  <c:v>809.82027478193697</c:v>
                </c:pt>
                <c:pt idx="8">
                  <c:v>811.78403989442097</c:v>
                </c:pt>
                <c:pt idx="9">
                  <c:v>803.92020252724501</c:v>
                </c:pt>
                <c:pt idx="10">
                  <c:v>805.65188265097197</c:v>
                </c:pt>
                <c:pt idx="11">
                  <c:v>803.51183647753498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2F-4D44-A716-C7507B34E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At val="790.53753622116596"/>
        <c:crossBetween val="midCat"/>
      </c:valAx>
      <c:valAx>
        <c:axId val="2"/>
        <c:scaling>
          <c:orientation val="minMax"/>
          <c:max val="928.24401085935904"/>
          <c:min val="790.53753622116596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topLeftCell="A37" workbookViewId="0"/>
  </sheetViews>
  <sheetFormatPr defaultRowHeight="15"/>
  <cols>
    <col min="1" max="1" width="23.42578125" customWidth="1"/>
    <col min="2" max="2" width="46" customWidth="1"/>
    <col min="3" max="3" width="11" customWidth="1"/>
    <col min="4" max="4" width="10" customWidth="1"/>
    <col min="5" max="5" width="23.42578125" customWidth="1"/>
    <col min="6" max="6" width="11" customWidth="1"/>
    <col min="7" max="7" width="10" customWidth="1"/>
    <col min="8" max="8" width="23.42578125" customWidth="1"/>
    <col min="9" max="9" width="11" customWidth="1"/>
    <col min="10" max="10" width="10" customWidth="1"/>
    <col min="11" max="11" width="23.42578125" customWidth="1"/>
    <col min="12" max="12" width="11" customWidth="1"/>
  </cols>
  <sheetData>
    <row r="1" spans="1:3">
      <c r="A1" s="12" t="s">
        <v>0</v>
      </c>
      <c r="B1" s="12" t="s">
        <v>0</v>
      </c>
    </row>
    <row r="2" spans="1:3">
      <c r="A2" s="14" t="s">
        <v>1</v>
      </c>
      <c r="B2" s="14" t="s">
        <v>1</v>
      </c>
    </row>
    <row r="4" spans="1:3">
      <c r="A4" s="13" t="s">
        <v>2</v>
      </c>
      <c r="B4" s="13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45621.564603761602</v>
      </c>
      <c r="C10" t="s">
        <v>5</v>
      </c>
    </row>
    <row r="12" spans="1:3">
      <c r="A12" s="13" t="s">
        <v>13</v>
      </c>
      <c r="B12" s="13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3">
      <c r="A17" s="1" t="s">
        <v>20</v>
      </c>
      <c r="B17" s="5">
        <v>4</v>
      </c>
    </row>
    <row r="18" spans="1:3">
      <c r="A18" s="1" t="s">
        <v>21</v>
      </c>
      <c r="B18" s="5">
        <v>5</v>
      </c>
    </row>
    <row r="20" spans="1:3">
      <c r="A20" s="13" t="s">
        <v>22</v>
      </c>
      <c r="B20" s="13" t="s">
        <v>22</v>
      </c>
    </row>
    <row r="21" spans="1:3">
      <c r="A21" s="1" t="s">
        <v>23</v>
      </c>
      <c r="B21" s="2" t="s">
        <v>24</v>
      </c>
      <c r="C21" t="s">
        <v>5</v>
      </c>
    </row>
    <row r="22" spans="1:3">
      <c r="A22" s="1" t="s">
        <v>25</v>
      </c>
      <c r="B22" s="2" t="s">
        <v>26</v>
      </c>
      <c r="C22" t="s">
        <v>5</v>
      </c>
    </row>
    <row r="23" spans="1:3">
      <c r="A23" s="1" t="s">
        <v>27</v>
      </c>
      <c r="B23" s="2" t="s">
        <v>28</v>
      </c>
      <c r="C23" t="s">
        <v>5</v>
      </c>
    </row>
    <row r="24" spans="1:3">
      <c r="A24" s="1" t="s">
        <v>29</v>
      </c>
      <c r="B24" s="2" t="s">
        <v>30</v>
      </c>
    </row>
    <row r="25" spans="1:3">
      <c r="A25" s="1" t="s">
        <v>31</v>
      </c>
      <c r="B25" s="2">
        <v>9.9999999999999995E-8</v>
      </c>
    </row>
    <row r="26" spans="1:3">
      <c r="A26" s="1" t="s">
        <v>32</v>
      </c>
      <c r="B26" s="2" t="s">
        <v>33</v>
      </c>
    </row>
    <row r="28" spans="1:3">
      <c r="A28" s="13" t="s">
        <v>34</v>
      </c>
      <c r="B28" s="13" t="s">
        <v>34</v>
      </c>
    </row>
    <row r="29" spans="1:3">
      <c r="A29" s="1" t="s">
        <v>35</v>
      </c>
      <c r="B29" s="2" t="s">
        <v>36</v>
      </c>
    </row>
    <row r="30" spans="1:3">
      <c r="A30" s="1" t="s">
        <v>37</v>
      </c>
      <c r="B30" s="6">
        <v>50</v>
      </c>
    </row>
    <row r="31" spans="1:3">
      <c r="A31" s="1" t="s">
        <v>38</v>
      </c>
      <c r="B31" s="2" t="s">
        <v>39</v>
      </c>
    </row>
    <row r="32" spans="1:3">
      <c r="A32" s="1" t="s">
        <v>40</v>
      </c>
      <c r="B32" s="7">
        <v>25</v>
      </c>
    </row>
    <row r="34" spans="1:12">
      <c r="A34" s="13" t="s">
        <v>41</v>
      </c>
      <c r="B34" s="13" t="s">
        <v>41</v>
      </c>
    </row>
    <row r="35" spans="1:12">
      <c r="A35" s="1" t="s">
        <v>42</v>
      </c>
      <c r="B35" s="2" t="s">
        <v>43</v>
      </c>
    </row>
    <row r="36" spans="1:12">
      <c r="A36" s="1" t="s">
        <v>44</v>
      </c>
      <c r="B36" s="2">
        <v>874.653835438653</v>
      </c>
    </row>
    <row r="37" spans="1:12">
      <c r="A37" s="1" t="s">
        <v>45</v>
      </c>
      <c r="B37" s="2">
        <v>807.55032837348404</v>
      </c>
    </row>
    <row r="38" spans="1:12">
      <c r="A38" s="1" t="s">
        <v>43</v>
      </c>
      <c r="B38" s="2">
        <v>4.3519496721532803E-5</v>
      </c>
    </row>
    <row r="39" spans="1:12">
      <c r="A39" s="1" t="s">
        <v>46</v>
      </c>
      <c r="B39" s="8">
        <v>9.9999999999999995E-8</v>
      </c>
    </row>
    <row r="40" spans="1:12">
      <c r="A40" s="1" t="s">
        <v>47</v>
      </c>
      <c r="B40" s="2">
        <v>11.023280497861199</v>
      </c>
    </row>
    <row r="41" spans="1:12">
      <c r="A41" s="1" t="s">
        <v>48</v>
      </c>
      <c r="B41" s="9">
        <v>2.6448723385866099E-5</v>
      </c>
    </row>
    <row r="43" spans="1:12">
      <c r="A43" s="13" t="s">
        <v>49</v>
      </c>
      <c r="B43" s="13" t="s">
        <v>49</v>
      </c>
      <c r="C43" s="13" t="s">
        <v>49</v>
      </c>
      <c r="E43" s="13" t="s">
        <v>50</v>
      </c>
      <c r="F43" s="13" t="s">
        <v>50</v>
      </c>
      <c r="H43" s="13" t="s">
        <v>51</v>
      </c>
      <c r="I43" s="13" t="s">
        <v>51</v>
      </c>
      <c r="K43" s="13" t="s">
        <v>52</v>
      </c>
      <c r="L43" s="13" t="s">
        <v>52</v>
      </c>
    </row>
    <row r="44" spans="1:12">
      <c r="A44" s="1" t="s">
        <v>53</v>
      </c>
      <c r="B44" s="10" t="s">
        <v>54</v>
      </c>
      <c r="C44" s="10" t="s">
        <v>55</v>
      </c>
      <c r="E44" s="1" t="s">
        <v>53</v>
      </c>
      <c r="F44" s="10" t="s">
        <v>54</v>
      </c>
      <c r="H44" s="1" t="s">
        <v>53</v>
      </c>
      <c r="I44" s="10" t="s">
        <v>54</v>
      </c>
      <c r="K44" s="1" t="s">
        <v>53</v>
      </c>
      <c r="L44" s="10" t="s">
        <v>54</v>
      </c>
    </row>
    <row r="45" spans="1:12">
      <c r="A45" s="11">
        <v>1E-3</v>
      </c>
      <c r="B45" s="2">
        <v>864.08653872699301</v>
      </c>
      <c r="C45" s="2">
        <v>34.9638653944723</v>
      </c>
      <c r="E45" s="11">
        <v>1E-3</v>
      </c>
      <c r="F45" s="2">
        <v>845.52562624334996</v>
      </c>
      <c r="H45" s="11">
        <v>1E-3</v>
      </c>
      <c r="I45" s="2">
        <v>904.41681427833203</v>
      </c>
      <c r="K45" s="11">
        <v>1E-3</v>
      </c>
      <c r="L45" s="2">
        <v>842.31717565929796</v>
      </c>
    </row>
    <row r="46" spans="1:12">
      <c r="A46" s="11">
        <v>5.0000000000000001E-4</v>
      </c>
      <c r="B46" s="2">
        <v>867.17922265616596</v>
      </c>
      <c r="C46" s="2">
        <v>28.271209180640501</v>
      </c>
      <c r="E46" s="11">
        <v>5.0000000000000001E-4</v>
      </c>
      <c r="F46" s="2">
        <v>856.90817085120898</v>
      </c>
      <c r="H46" s="11">
        <v>5.0000000000000001E-4</v>
      </c>
      <c r="I46" s="2">
        <v>845.47931694947397</v>
      </c>
      <c r="K46" s="11">
        <v>5.0000000000000001E-4</v>
      </c>
      <c r="L46" s="2">
        <v>899.15018016781403</v>
      </c>
    </row>
    <row r="47" spans="1:12">
      <c r="A47" s="11">
        <v>2.5000000000000001E-4</v>
      </c>
      <c r="B47" s="2">
        <v>862.519359911979</v>
      </c>
      <c r="C47" s="2">
        <v>20.001206525651401</v>
      </c>
      <c r="E47" s="11">
        <v>2.5000000000000001E-4</v>
      </c>
      <c r="F47" s="2">
        <v>856.58248384972603</v>
      </c>
      <c r="H47" s="11">
        <v>2.5000000000000001E-4</v>
      </c>
      <c r="I47" s="2">
        <v>846.15871649964799</v>
      </c>
      <c r="K47" s="11">
        <v>2.5000000000000001E-4</v>
      </c>
      <c r="L47" s="2">
        <v>884.81687938656398</v>
      </c>
    </row>
    <row r="48" spans="1:12">
      <c r="A48" s="11">
        <v>1.25E-4</v>
      </c>
      <c r="B48" s="2">
        <v>886.08699625469103</v>
      </c>
      <c r="C48" s="2">
        <v>30.681475051485901</v>
      </c>
      <c r="E48" s="11">
        <v>1.25E-4</v>
      </c>
      <c r="F48" s="2">
        <v>851.70415056792501</v>
      </c>
      <c r="H48" s="11">
        <v>1.25E-4</v>
      </c>
      <c r="I48" s="2">
        <v>895.881267403332</v>
      </c>
      <c r="K48" s="11">
        <v>1.25E-4</v>
      </c>
      <c r="L48" s="2">
        <v>910.67557079281403</v>
      </c>
    </row>
    <row r="49" spans="1:12">
      <c r="A49" s="11">
        <v>6.2500000000000001E-5</v>
      </c>
      <c r="B49" s="2">
        <v>835.73795172394296</v>
      </c>
      <c r="C49" s="2">
        <v>10.196528741857399</v>
      </c>
      <c r="E49" s="11">
        <v>6.2500000000000001E-5</v>
      </c>
      <c r="F49" s="2">
        <v>844.05901894301905</v>
      </c>
      <c r="H49" s="11">
        <v>6.2500000000000001E-5</v>
      </c>
      <c r="I49" s="2">
        <v>838.79122977227803</v>
      </c>
      <c r="K49" s="11">
        <v>6.2500000000000001E-5</v>
      </c>
      <c r="L49" s="2">
        <v>824.36360645653394</v>
      </c>
    </row>
    <row r="50" spans="1:12">
      <c r="A50" s="11">
        <v>3.1250000000000001E-5</v>
      </c>
      <c r="B50" s="2">
        <v>828.70453011713096</v>
      </c>
      <c r="C50" s="2">
        <v>12.5443228591198</v>
      </c>
      <c r="E50" s="11">
        <v>3.1250000000000001E-5</v>
      </c>
      <c r="F50" s="2">
        <v>842.94403426906797</v>
      </c>
      <c r="H50" s="11">
        <v>3.1250000000000001E-5</v>
      </c>
      <c r="I50" s="2">
        <v>823.88421865227997</v>
      </c>
      <c r="K50" s="11">
        <v>3.1250000000000001E-5</v>
      </c>
      <c r="L50" s="2">
        <v>819.28533743004402</v>
      </c>
    </row>
    <row r="51" spans="1:12">
      <c r="A51" s="11">
        <v>1.5625E-5</v>
      </c>
      <c r="B51" s="2">
        <v>822.12917857193702</v>
      </c>
      <c r="C51" s="2">
        <v>11.8295156311097</v>
      </c>
      <c r="E51" s="11">
        <v>1.5625E-5</v>
      </c>
      <c r="F51" s="2">
        <v>835.74078089587204</v>
      </c>
      <c r="H51" s="11">
        <v>1.5625E-5</v>
      </c>
      <c r="I51" s="2">
        <v>816.31365600609695</v>
      </c>
      <c r="K51" s="11">
        <v>1.5625E-5</v>
      </c>
      <c r="L51" s="2">
        <v>814.33309881384105</v>
      </c>
    </row>
    <row r="52" spans="1:12">
      <c r="A52" s="11">
        <v>7.8125000000000002E-6</v>
      </c>
      <c r="B52" s="2">
        <v>818.77910603369401</v>
      </c>
      <c r="C52" s="2">
        <v>8.7214944611310798</v>
      </c>
      <c r="E52" s="11">
        <v>7.8125000000000002E-6</v>
      </c>
      <c r="F52" s="2">
        <v>827.24210956339095</v>
      </c>
      <c r="H52" s="11">
        <v>7.8125000000000002E-6</v>
      </c>
      <c r="I52" s="2">
        <v>819.27493375575398</v>
      </c>
      <c r="K52" s="11">
        <v>7.8125000000000002E-6</v>
      </c>
      <c r="L52" s="2">
        <v>809.82027478193697</v>
      </c>
    </row>
    <row r="53" spans="1:12">
      <c r="A53" s="11">
        <v>3.9062500000000001E-6</v>
      </c>
      <c r="B53" s="2">
        <v>814.136174944186</v>
      </c>
      <c r="C53" s="2">
        <v>6.4296120423719403</v>
      </c>
      <c r="E53" s="11">
        <v>3.9062500000000001E-6</v>
      </c>
      <c r="F53" s="2">
        <v>821.41064443566302</v>
      </c>
      <c r="H53" s="11">
        <v>3.9062500000000001E-6</v>
      </c>
      <c r="I53" s="2">
        <v>809.213840502474</v>
      </c>
      <c r="K53" s="11">
        <v>3.9062500000000001E-6</v>
      </c>
      <c r="L53" s="2">
        <v>811.78403989442097</v>
      </c>
    </row>
    <row r="54" spans="1:12">
      <c r="A54" s="11">
        <v>1.953125E-6</v>
      </c>
      <c r="B54" s="2">
        <v>809.83826271072496</v>
      </c>
      <c r="C54" s="2">
        <v>6.4085314590077296</v>
      </c>
      <c r="E54" s="11">
        <v>1.953125E-6</v>
      </c>
      <c r="F54" s="2">
        <v>816.64459032275397</v>
      </c>
      <c r="H54" s="11">
        <v>1.953125E-6</v>
      </c>
      <c r="I54" s="2">
        <v>808.949995282175</v>
      </c>
      <c r="K54" s="11">
        <v>1.953125E-6</v>
      </c>
      <c r="L54" s="2">
        <v>803.92020252724501</v>
      </c>
    </row>
    <row r="55" spans="1:12">
      <c r="A55" s="11">
        <v>9.7656250000000002E-7</v>
      </c>
      <c r="B55" s="2">
        <v>811.81093527723601</v>
      </c>
      <c r="C55" s="2">
        <v>5.3349717598072601</v>
      </c>
      <c r="E55" s="11">
        <v>9.7656250000000002E-7</v>
      </c>
      <c r="F55" s="2">
        <v>814.783332051402</v>
      </c>
      <c r="H55" s="11">
        <v>9.7656250000000002E-7</v>
      </c>
      <c r="I55" s="2">
        <v>814.99759112933498</v>
      </c>
      <c r="K55" s="11">
        <v>9.7656250000000002E-7</v>
      </c>
      <c r="L55" s="2">
        <v>805.65188265097197</v>
      </c>
    </row>
    <row r="56" spans="1:12">
      <c r="A56" s="11">
        <v>4.8828125000000001E-7</v>
      </c>
      <c r="B56" s="2">
        <v>808.62182811033904</v>
      </c>
      <c r="C56" s="2">
        <v>6.6087523359903901</v>
      </c>
      <c r="E56" s="11">
        <v>4.8828125000000001E-7</v>
      </c>
      <c r="F56" s="2">
        <v>816.08514304564198</v>
      </c>
      <c r="H56" s="11">
        <v>4.8828125000000001E-7</v>
      </c>
      <c r="I56" s="2">
        <v>806.26850480784196</v>
      </c>
      <c r="K56" s="11">
        <v>4.8828125000000001E-7</v>
      </c>
      <c r="L56" s="2">
        <v>803.51183647753498</v>
      </c>
    </row>
  </sheetData>
  <mergeCells count="11">
    <mergeCell ref="K43:L43"/>
    <mergeCell ref="A28:B28"/>
    <mergeCell ref="A34:B34"/>
    <mergeCell ref="A43:C43"/>
    <mergeCell ref="E43:F43"/>
    <mergeCell ref="H43:I43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1"/>
  <sheetViews>
    <sheetView workbookViewId="0"/>
  </sheetViews>
  <sheetFormatPr defaultRowHeight="15"/>
  <sheetData>
    <row r="1" spans="1:2">
      <c r="A1" t="s">
        <v>56</v>
      </c>
      <c r="B1" t="s">
        <v>57</v>
      </c>
    </row>
    <row r="2" spans="1:2">
      <c r="A2">
        <v>9.5043947771080199E-4</v>
      </c>
      <c r="B2">
        <f>((RawData!B36-RawData!B37)*(RawData!B39+A2+RawData!B38-SQRT(POWER(RawData!B39+A2+RawData!B38,2)-(4*RawData!B39*A2)))/(2*RawData!B39))+RawData!B37</f>
        <v>871.71549301347306</v>
      </c>
    </row>
    <row r="3" spans="1:2">
      <c r="A3">
        <v>9.0333520079118295E-4</v>
      </c>
      <c r="B3">
        <f>((RawData!B36-RawData!B37)*(RawData!B39+A3+RawData!B38-SQRT(POWER(RawData!B39+A3+RawData!B38,2)-(4*RawData!B39*A3)))/(2*RawData!B39))+RawData!B37</f>
        <v>871.56930183687712</v>
      </c>
    </row>
    <row r="4" spans="1:2">
      <c r="A4">
        <v>8.5856543643775404E-4</v>
      </c>
      <c r="B4">
        <f>((RawData!B36-RawData!B37)*(RawData!B39+A4+RawData!B38-SQRT(POWER(RawData!B39+A4+RawData!B38,2)-(4*RawData!B39*A4)))/(2*RawData!B39))+RawData!B37</f>
        <v>871.4162034923246</v>
      </c>
    </row>
    <row r="5" spans="1:2">
      <c r="A5">
        <v>8.1601448498844599E-4</v>
      </c>
      <c r="B5">
        <f>((RawData!B36-RawData!B37)*(RawData!B39+A5+RawData!B38-SQRT(POWER(RawData!B39+A5+RawData!B38,2)-(4*RawData!B39*A5)))/(2*RawData!B39))+RawData!B37</f>
        <v>871.25590876623551</v>
      </c>
    </row>
    <row r="6" spans="1:2">
      <c r="A6">
        <v>7.7557238091686802E-4</v>
      </c>
      <c r="B6">
        <f>((RawData!B36-RawData!B37)*(RawData!B39+A6+RawData!B38-SQRT(POWER(RawData!B39+A6+RawData!B38,2)-(4*RawData!B39*A6)))/(2*RawData!B39))+RawData!B37</f>
        <v>871.0881200901689</v>
      </c>
    </row>
    <row r="7" spans="1:2">
      <c r="A7">
        <v>7.3713460864555103E-4</v>
      </c>
      <c r="B7">
        <f>((RawData!B36-RawData!B37)*(RawData!B39+A7+RawData!B38-SQRT(POWER(RawData!B39+A7+RawData!B38,2)-(4*RawData!B39*A7)))/(2*RawData!B39))+RawData!B37</f>
        <v>870.91253169520621</v>
      </c>
    </row>
    <row r="8" spans="1:2">
      <c r="A8">
        <v>7.0060183244363401E-4</v>
      </c>
      <c r="B8">
        <f>((RawData!B36-RawData!B37)*(RawData!B39+A8+RawData!B38-SQRT(POWER(RawData!B39+A8+RawData!B38,2)-(4*RawData!B39*A8)))/(2*RawData!B39))+RawData!B37</f>
        <v>870.72882981959128</v>
      </c>
    </row>
    <row r="9" spans="1:2">
      <c r="A9">
        <v>6.6587963971095898E-4</v>
      </c>
      <c r="B9">
        <f>((RawData!B36-RawData!B37)*(RawData!B39+A9+RawData!B38-SQRT(POWER(RawData!B39+A9+RawData!B38,2)-(4*RawData!B39*A9)))/(2*RawData!B39))+RawData!B37</f>
        <v>870.53669297369856</v>
      </c>
    </row>
    <row r="10" spans="1:2">
      <c r="A10">
        <v>6.3287829698513995E-4</v>
      </c>
      <c r="B10">
        <f>((RawData!B36-RawData!B37)*(RawData!B39+A10+RawData!B38-SQRT(POWER(RawData!B39+A10+RawData!B38,2)-(4*RawData!B39*A10)))/(2*RawData!B39))+RawData!B37</f>
        <v>870.33579226782615</v>
      </c>
    </row>
    <row r="11" spans="1:2">
      <c r="A11">
        <v>6.0151251804105895E-4</v>
      </c>
      <c r="B11">
        <f>((RawData!B36-RawData!B37)*(RawData!B39+A11+RawData!B38-SQRT(POWER(RawData!B39+A11+RawData!B38,2)-(4*RawData!B39*A11)))/(2*RawData!B39))+RawData!B37</f>
        <v>870.12579180873956</v>
      </c>
    </row>
    <row r="12" spans="1:2">
      <c r="A12">
        <v>5.7170124348345397E-4</v>
      </c>
      <c r="B12">
        <f>((RawData!B36-RawData!B37)*(RawData!B39+A12+RawData!B38-SQRT(POWER(RawData!B39+A12+RawData!B38,2)-(4*RawData!B39*A12)))/(2*RawData!B39))+RawData!B37</f>
        <v>869.90634916969759</v>
      </c>
    </row>
    <row r="13" spans="1:2">
      <c r="A13">
        <v>5.4336743126302996E-4</v>
      </c>
      <c r="B13">
        <f>((RawData!B36-RawData!B37)*(RawData!B39+A13+RawData!B38-SQRT(POWER(RawData!B39+A13+RawData!B38,2)-(4*RawData!B39*A13)))/(2*RawData!B39))+RawData!B37</f>
        <v>869.67711594014372</v>
      </c>
    </row>
    <row r="14" spans="1:2">
      <c r="A14">
        <v>5.16437857574694E-4</v>
      </c>
      <c r="B14">
        <f>((RawData!B36-RawData!B37)*(RawData!B39+A14+RawData!B38-SQRT(POWER(RawData!B39+A14+RawData!B38,2)-(4*RawData!B39*A14)))/(2*RawData!B39))+RawData!B37</f>
        <v>869.43773836051878</v>
      </c>
    </row>
    <row r="15" spans="1:2">
      <c r="A15">
        <v>4.9084292762337797E-4</v>
      </c>
      <c r="B15">
        <f>((RawData!B36-RawData!B37)*(RawData!B39+A15+RawData!B38-SQRT(POWER(RawData!B39+A15+RawData!B38,2)-(4*RawData!B39*A15)))/(2*RawData!B39))+RawData!B37</f>
        <v>869.18785804805259</v>
      </c>
    </row>
    <row r="16" spans="1:2">
      <c r="A16">
        <v>4.6651649576840402E-4</v>
      </c>
      <c r="B16">
        <f>((RawData!B36-RawData!B37)*(RawData!B39+A16+RawData!B38-SQRT(POWER(RawData!B39+A16+RawData!B38,2)-(4*RawData!B39*A16)))/(2*RawData!B39))+RawData!B37</f>
        <v>868.92711281866343</v>
      </c>
    </row>
    <row r="17" spans="1:2">
      <c r="A17">
        <v>4.4339569458159598E-4</v>
      </c>
      <c r="B17">
        <f>((RawData!B36-RawData!B37)*(RawData!B39+A17+RawData!B38-SQRT(POWER(RawData!B39+A17+RawData!B38,2)-(4*RawData!B39*A17)))/(2*RawData!B39))+RawData!B37</f>
        <v>868.65513761098543</v>
      </c>
    </row>
    <row r="18" spans="1:2">
      <c r="A18">
        <v>4.2142077237735E-4</v>
      </c>
      <c r="B18">
        <f>((RawData!B36-RawData!B37)*(RawData!B39+A18+RawData!B38-SQRT(POWER(RawData!B39+A18+RawData!B38,2)-(4*RawData!B39*A18)))/(2*RawData!B39))+RawData!B37</f>
        <v>868.37156551739827</v>
      </c>
    </row>
    <row r="19" spans="1:2">
      <c r="A19">
        <v>4.0053493879481199E-4</v>
      </c>
      <c r="B19">
        <f>((RawData!B36-RawData!B37)*(RawData!B39+A19+RawData!B38-SQRT(POWER(RawData!B39+A19+RawData!B38,2)-(4*RawData!B39*A19)))/(2*RawData!B39))+RawData!B37</f>
        <v>868.07602892677107</v>
      </c>
    </row>
    <row r="20" spans="1:2">
      <c r="A20">
        <v>3.8068421803306898E-4</v>
      </c>
      <c r="B20">
        <f>((RawData!B36-RawData!B37)*(RawData!B39+A20+RawData!B38-SQRT(POWER(RawData!B39+A20+RawData!B38,2)-(4*RawData!B39*A20)))/(2*RawData!B39))+RawData!B37</f>
        <v>867.76816078328443</v>
      </c>
    </row>
    <row r="21" spans="1:2">
      <c r="A21">
        <v>3.61817309360095E-4</v>
      </c>
      <c r="B21">
        <f>((RawData!B36-RawData!B37)*(RawData!B39+A21+RawData!B38-SQRT(POWER(RawData!B39+A21+RawData!B38,2)-(4*RawData!B39*A21)))/(2*RawData!B39))+RawData!B37</f>
        <v>867.44759596544122</v>
      </c>
    </row>
    <row r="22" spans="1:2">
      <c r="A22">
        <v>3.4388545453493702E-4</v>
      </c>
      <c r="B22">
        <f>((RawData!B36-RawData!B37)*(RawData!B39+A22+RawData!B38-SQRT(POWER(RawData!B39+A22+RawData!B38,2)-(4*RawData!B39*A22)))/(2*RawData!B39))+RawData!B37</f>
        <v>867.11397278755942</v>
      </c>
    </row>
    <row r="23" spans="1:2">
      <c r="A23">
        <v>3.2684231180052701E-4</v>
      </c>
      <c r="B23">
        <f>((RawData!B36-RawData!B37)*(RawData!B39+A23+RawData!B38-SQRT(POWER(RawData!B39+A23+RawData!B38,2)-(4*RawData!B39*A23)))/(2*RawData!B39))+RawData!B37</f>
        <v>866.76693462652793</v>
      </c>
    </row>
    <row r="24" spans="1:2">
      <c r="A24">
        <v>3.1064383612148399E-4</v>
      </c>
      <c r="B24">
        <f>((RawData!B36-RawData!B37)*(RawData!B39+A24+RawData!B38-SQRT(POWER(RawData!B39+A24+RawData!B38,2)-(4*RawData!B39*A24)))/(2*RawData!B39))+RawData!B37</f>
        <v>866.40613167444496</v>
      </c>
    </row>
    <row r="25" spans="1:2">
      <c r="A25">
        <v>2.9524816535738302E-4</v>
      </c>
      <c r="B25">
        <f>((RawData!B36-RawData!B37)*(RawData!B39+A25+RawData!B38-SQRT(POWER(RawData!B39+A25+RawData!B38,2)-(4*RawData!B39*A25)))/(2*RawData!B39))+RawData!B37</f>
        <v>866.03122281704725</v>
      </c>
    </row>
    <row r="26" spans="1:2">
      <c r="A26">
        <v>2.8061551207734402E-4</v>
      </c>
      <c r="B26">
        <f>((RawData!B36-RawData!B37)*(RawData!B39+A26+RawData!B38-SQRT(POWER(RawData!B39+A26+RawData!B38,2)-(4*RawData!B39*A26)))/(2*RawData!B39))+RawData!B37</f>
        <v>865.64187763651262</v>
      </c>
    </row>
    <row r="27" spans="1:2">
      <c r="A27">
        <v>2.6670806073634E-4</v>
      </c>
      <c r="B27">
        <f>((RawData!B36-RawData!B37)*(RawData!B39+A27+RawData!B38-SQRT(POWER(RawData!B39+A27+RawData!B38,2)-(4*RawData!B39*A27)))/(2*RawData!B39))+RawData!B37</f>
        <v>865.2377785353242</v>
      </c>
    </row>
    <row r="28" spans="1:2">
      <c r="A28">
        <v>2.5348986994750799E-4</v>
      </c>
      <c r="B28">
        <f>((RawData!B36-RawData!B37)*(RawData!B39+A28+RawData!B38-SQRT(POWER(RawData!B39+A28+RawData!B38,2)-(4*RawData!B39*A28)))/(2*RawData!B39))+RawData!B37</f>
        <v>864.81862297648604</v>
      </c>
    </row>
    <row r="29" spans="1:2">
      <c r="A29">
        <v>2.4092677959788899E-4</v>
      </c>
      <c r="B29">
        <f>((RawData!B36-RawData!B37)*(RawData!B39+A29+RawData!B38-SQRT(POWER(RawData!B39+A29+RawData!B38,2)-(4*RawData!B39*A29)))/(2*RawData!B39))+RawData!B37</f>
        <v>864.38412583317893</v>
      </c>
    </row>
    <row r="30" spans="1:2">
      <c r="A30">
        <v>2.28986322567563E-4</v>
      </c>
      <c r="B30">
        <f>((RawData!B36-RawData!B37)*(RawData!B39+A30+RawData!B38-SQRT(POWER(RawData!B39+A30+RawData!B38,2)-(4*RawData!B39*A30)))/(2*RawData!B39))+RawData!B37</f>
        <v>863.93402183896217</v>
      </c>
    </row>
    <row r="31" spans="1:2">
      <c r="A31">
        <v>2.1763764082403201E-4</v>
      </c>
      <c r="B31">
        <f>((RawData!B36-RawData!B37)*(RawData!B39+A31+RawData!B38-SQRT(POWER(RawData!B39+A31+RawData!B38,2)-(4*RawData!B39*A31)))/(2*RawData!B39))+RawData!B37</f>
        <v>863.46806812773423</v>
      </c>
    </row>
    <row r="32" spans="1:2">
      <c r="A32">
        <v>2.0685140567500401E-4</v>
      </c>
      <c r="B32">
        <f>((RawData!B36-RawData!B37)*(RawData!B39+A32+RawData!B38-SQRT(POWER(RawData!B39+A32+RawData!B38,2)-(4*RawData!B39*A32)))/(2*RawData!B39))+RawData!B37</f>
        <v>862.98604684957695</v>
      </c>
    </row>
    <row r="33" spans="1:2">
      <c r="A33">
        <v>1.9659974197349601E-4</v>
      </c>
      <c r="B33">
        <f>((RawData!B36-RawData!B37)*(RawData!B39+A33+RawData!B38-SQRT(POWER(RawData!B39+A33+RawData!B38,2)-(4*RawData!B39*A33)))/(2*RawData!B39))+RawData!B37</f>
        <v>862.48776784699351</v>
      </c>
    </row>
    <row r="34" spans="1:2">
      <c r="A34">
        <v>1.8685615607936799E-4</v>
      </c>
      <c r="B34">
        <f>((RawData!B36-RawData!B37)*(RawData!B39+A34+RawData!B38-SQRT(POWER(RawData!B39+A34+RawData!B38,2)-(4*RawData!B39*A34)))/(2*RawData!B39))+RawData!B37</f>
        <v>861.97307137280723</v>
      </c>
    </row>
    <row r="35" spans="1:2">
      <c r="A35">
        <v>1.7759546739112299E-4</v>
      </c>
      <c r="B35">
        <f>((RawData!B36-RawData!B37)*(RawData!B39+A35+RawData!B38-SQRT(POWER(RawData!B39+A35+RawData!B38,2)-(4*RawData!B39*A35)))/(2*RawData!B39))+RawData!B37</f>
        <v>861.44183082897734</v>
      </c>
    </row>
    <row r="36" spans="1:2">
      <c r="A36">
        <v>1.68793743271024E-4</v>
      </c>
      <c r="B36">
        <f>((RawData!B36-RawData!B37)*(RawData!B39+A36+RawData!B38-SQRT(POWER(RawData!B39+A36+RawData!B38,2)-(4*RawData!B39*A36)))/(2*RawData!B39))+RawData!B37</f>
        <v>860.89395550269546</v>
      </c>
    </row>
    <row r="37" spans="1:2">
      <c r="A37">
        <v>1.6042823719536399E-4</v>
      </c>
      <c r="B37">
        <f>((RawData!B36-RawData!B37)*(RawData!B39+A37+RawData!B38-SQRT(POWER(RawData!B39+A37+RawData!B38,2)-(4*RawData!B39*A37)))/(2*RawData!B39))+RawData!B37</f>
        <v>860.32939327383497</v>
      </c>
    </row>
    <row r="38" spans="1:2">
      <c r="A38">
        <v>1.52477329970026E-4</v>
      </c>
      <c r="B38">
        <f>((RawData!B36-RawData!B37)*(RawData!B39+A38+RawData!B38-SQRT(POWER(RawData!B39+A38+RawData!B38,2)-(4*RawData!B39*A38)))/(2*RawData!B39))+RawData!B37</f>
        <v>859.74813326534388</v>
      </c>
    </row>
    <row r="39" spans="1:2">
      <c r="A39">
        <v>1.4492047385944901E-4</v>
      </c>
      <c r="B39">
        <f>((RawData!B36-RawData!B37)*(RawData!B39+A39+RawData!B38-SQRT(POWER(RawData!B39+A39+RawData!B38,2)-(4*RawData!B39*A39)))/(2*RawData!B39))+RawData!B37</f>
        <v>859.15020840630518</v>
      </c>
    </row>
    <row r="40" spans="1:2">
      <c r="A40">
        <v>1.3773813948457701E-4</v>
      </c>
      <c r="B40">
        <f>((RawData!B36-RawData!B37)*(RawData!B39+A40+RawData!B38-SQRT(POWER(RawData!B39+A40+RawData!B38,2)-(4*RawData!B39*A40)))/(2*RawData!B39))+RawData!B37</f>
        <v>858.53569787509025</v>
      </c>
    </row>
    <row r="41" spans="1:2">
      <c r="A41">
        <v>1.30911765352579E-4</v>
      </c>
      <c r="B41">
        <f>((RawData!B36-RawData!B37)*(RawData!B39+A41+RawData!B38-SQRT(POWER(RawData!B39+A41+RawData!B38,2)-(4*RawData!B39*A41)))/(2*RawData!B39))+RawData!B37</f>
        <v>857.90472938884739</v>
      </c>
    </row>
    <row r="42" spans="1:2">
      <c r="A42">
        <v>1.2442370988790399E-4</v>
      </c>
      <c r="B42">
        <f>((RawData!B36-RawData!B37)*(RawData!B39+A42+RawData!B38-SQRT(POWER(RawData!B39+A42+RawData!B38,2)-(4*RawData!B39*A42)))/(2*RawData!B39))+RawData!B37</f>
        <v>857.25748130437603</v>
      </c>
    </row>
    <row r="43" spans="1:2">
      <c r="A43">
        <v>1.182572058407E-4</v>
      </c>
      <c r="B43">
        <f>((RawData!B36-RawData!B37)*(RawData!B39+A43+RawData!B38-SQRT(POWER(RawData!B39+A43+RawData!B38,2)-(4*RawData!B39*A43)))/(2*RawData!B39))+RawData!B37</f>
        <v>856.59418449449163</v>
      </c>
    </row>
    <row r="44" spans="1:2">
      <c r="A44">
        <v>1.12396316954774E-4</v>
      </c>
      <c r="B44">
        <f>((RawData!B36-RawData!B37)*(RawData!B39+A44+RawData!B38-SQRT(POWER(RawData!B39+A44+RawData!B38,2)-(4*RawData!B39*A44)))/(2*RawData!B39))+RawData!B37</f>
        <v>855.91512396435974</v>
      </c>
    </row>
    <row r="45" spans="1:2">
      <c r="A45">
        <v>1.06825896783113E-4</v>
      </c>
      <c r="B45">
        <f>((RawData!B36-RawData!B37)*(RawData!B39+A45+RawData!B38-SQRT(POWER(RawData!B39+A45+RawData!B38,2)-(4*RawData!B39*A45)))/(2*RawData!B39))+RawData!B37</f>
        <v>855.2206401724502</v>
      </c>
    </row>
    <row r="46" spans="1:2">
      <c r="A46">
        <v>1.0153154954453E-4</v>
      </c>
      <c r="B46">
        <f>((RawData!B36-RawData!B37)*(RawData!B39+A46+RawData!B38-SQRT(POWER(RawData!B39+A46+RawData!B38,2)-(4*RawData!B39*A46)))/(2*RawData!B39))+RawData!B37</f>
        <v>854.51113002207057</v>
      </c>
    </row>
    <row r="47" spans="1:2">
      <c r="A47">
        <v>9.6499592920271405E-5</v>
      </c>
      <c r="B47">
        <f>((RawData!B36-RawData!B37)*(RawData!B39+A47+RawData!B38-SQRT(POWER(RawData!B39+A47+RawData!B38,2)-(4*RawData!B39*A47)))/(2*RawData!B39))+RawData!B37</f>
        <v>853.78704749133215</v>
      </c>
    </row>
    <row r="48" spans="1:2">
      <c r="A48">
        <v>9.1717022694447805E-5</v>
      </c>
      <c r="B48">
        <f>((RawData!B36-RawData!B37)*(RawData!B39+A48+RawData!B38-SQRT(POWER(RawData!B39+A48+RawData!B38,2)-(4*RawData!B39*A48)))/(2*RawData!B39))+RawData!B37</f>
        <v>853.04890387208218</v>
      </c>
    </row>
    <row r="49" spans="1:2">
      <c r="A49">
        <v>8.7171479146900795E-5</v>
      </c>
      <c r="B49">
        <f>((RawData!B36-RawData!B37)*(RawData!B39+A49+RawData!B38-SQRT(POWER(RawData!B39+A49+RawData!B38,2)-(4*RawData!B39*A49)))/(2*RawData!B39))+RawData!B37</f>
        <v>852.29726759169387</v>
      </c>
    </row>
    <row r="50" spans="1:2">
      <c r="A50">
        <v>8.2851215111658395E-5</v>
      </c>
      <c r="B50">
        <f>((RawData!B36-RawData!B37)*(RawData!B39+A50+RawData!B38-SQRT(POWER(RawData!B39+A50+RawData!B38,2)-(4*RawData!B39*A50)))/(2*RawData!B39))+RawData!B37</f>
        <v>851.53276359572294</v>
      </c>
    </row>
    <row r="51" spans="1:2">
      <c r="A51">
        <v>7.8745065618429993E-5</v>
      </c>
      <c r="B51">
        <f>((RawData!B36-RawData!B37)*(RawData!B39+A51+RawData!B38-SQRT(POWER(RawData!B39+A51+RawData!B38,2)-(4*RawData!B39*A51)))/(2*RawData!B39))+RawData!B37</f>
        <v>850.75607227429896</v>
      </c>
    </row>
    <row r="52" spans="1:2">
      <c r="A52">
        <v>7.4842419038683404E-5</v>
      </c>
      <c r="B52">
        <f>((RawData!B36-RawData!B37)*(RawData!B39+A52+RawData!B38-SQRT(POWER(RawData!B39+A52+RawData!B38,2)-(4*RawData!B39*A52)))/(2*RawData!B39))+RawData!B37</f>
        <v>849.9679279205817</v>
      </c>
    </row>
    <row r="53" spans="1:2">
      <c r="A53">
        <v>7.1133189661739301E-5</v>
      </c>
      <c r="B53">
        <f>((RawData!B36-RawData!B37)*(RawData!B39+A53+RawData!B38-SQRT(POWER(RawData!B39+A53+RawData!B38,2)-(4*RawData!B39*A53)))/(2*RawData!B39))+RawData!B37</f>
        <v>849.16911671578191</v>
      </c>
    </row>
    <row r="54" spans="1:2">
      <c r="A54">
        <v>6.7607791630006899E-5</v>
      </c>
      <c r="B54">
        <f>((RawData!B36-RawData!B37)*(RawData!B39+A54+RawData!B38-SQRT(POWER(RawData!B39+A54+RawData!B38,2)-(4*RawData!B39*A54)))/(2*RawData!B39))+RawData!B37</f>
        <v>848.36047424164235</v>
      </c>
    </row>
    <row r="55" spans="1:2">
      <c r="A55">
        <v>6.4257114166004495E-5</v>
      </c>
      <c r="B55">
        <f>((RawData!B36-RawData!B37)*(RawData!B39+A55+RawData!B38-SQRT(POWER(RawData!B39+A55+RawData!B38,2)-(4*RawData!B39*A55)))/(2*RawData!B39))+RawData!B37</f>
        <v>847.54288252819799</v>
      </c>
    </row>
    <row r="56" spans="1:2">
      <c r="A56">
        <v>6.1072498027140701E-5</v>
      </c>
      <c r="B56">
        <f>((RawData!B36-RawData!B37)*(RawData!B39+A56+RawData!B38-SQRT(POWER(RawData!B39+A56+RawData!B38,2)-(4*RawData!B39*A56)))/(2*RawData!B39))+RawData!B37</f>
        <v>846.7172666518652</v>
      </c>
    </row>
    <row r="57" spans="1:2">
      <c r="A57">
        <v>5.8045713127409599E-5</v>
      </c>
      <c r="B57">
        <f>((RawData!B36-RawData!B37)*(RawData!B39+A57+RawData!B38-SQRT(POWER(RawData!B39+A57+RawData!B38,2)-(4*RawData!B39*A57)))/(2*RawData!B39))+RawData!B37</f>
        <v>845.88459090593346</v>
      </c>
    </row>
    <row r="58" spans="1:2">
      <c r="A58">
        <v>5.51689372681662E-5</v>
      </c>
      <c r="B58">
        <f>((RawData!B36-RawData!B37)*(RawData!B39+A58+RawData!B38-SQRT(POWER(RawData!B39+A58+RawData!B38,2)-(4*RawData!B39*A58)))/(2*RawData!B39))+RawData!B37</f>
        <v>845.04585457262056</v>
      </c>
    </row>
    <row r="59" spans="1:2">
      <c r="A59">
        <v>5.2434735923015899E-5</v>
      </c>
      <c r="B59">
        <f>((RawData!B36-RawData!B37)*(RawData!B39+A59+RawData!B38-SQRT(POWER(RawData!B39+A59+RawData!B38,2)-(4*RawData!B39*A59)))/(2*RawData!B39))+RawData!B37</f>
        <v>844.20208733268748</v>
      </c>
    </row>
    <row r="60" spans="1:2">
      <c r="A60">
        <v>4.9836043024575102E-5</v>
      </c>
      <c r="B60">
        <f>((RawData!B36-RawData!B37)*(RawData!B39+A60+RawData!B38-SQRT(POWER(RawData!B39+A60+RawData!B38,2)-(4*RawData!B39*A60)))/(2*RawData!B39))+RawData!B37</f>
        <v>843.35434435484126</v>
      </c>
    </row>
    <row r="61" spans="1:2">
      <c r="A61">
        <v>4.7366142703450199E-5</v>
      </c>
      <c r="B61">
        <f>((RawData!B36-RawData!B37)*(RawData!B39+A61+RawData!B38-SQRT(POWER(RawData!B39+A61+RawData!B38,2)-(4*RawData!B39*A61)))/(2*RawData!B39))+RawData!B37</f>
        <v>842.50370111305187</v>
      </c>
    </row>
    <row r="62" spans="1:2">
      <c r="A62">
        <v>4.5018651932242601E-5</v>
      </c>
      <c r="B62">
        <f>((RawData!B36-RawData!B37)*(RawData!B39+A62+RawData!B38-SQRT(POWER(RawData!B39+A62+RawData!B38,2)-(4*RawData!B39*A62)))/(2*RawData!B39))+RawData!B37</f>
        <v>841.65124798452553</v>
      </c>
    </row>
    <row r="63" spans="1:2">
      <c r="A63">
        <v>4.2787504029725003E-5</v>
      </c>
      <c r="B63">
        <f>((RawData!B36-RawData!B37)*(RawData!B39+A63+RawData!B38-SQRT(POWER(RawData!B39+A63+RawData!B38,2)-(4*RawData!B39*A63)))/(2*RawData!B39))+RawData!B37</f>
        <v>840.79808468553802</v>
      </c>
    </row>
    <row r="64" spans="1:2">
      <c r="A64">
        <v>4.0666932982560702E-5</v>
      </c>
      <c r="B64">
        <f>((RawData!B36-RawData!B37)*(RawData!B39+A64+RawData!B38-SQRT(POWER(RawData!B39+A64+RawData!B38,2)-(4*RawData!B39*A64)))/(2*RawData!B39))+RawData!B37</f>
        <v>839.94531460490703</v>
      </c>
    </row>
    <row r="65" spans="1:2">
      <c r="A65">
        <v>3.8651458544045202E-5</v>
      </c>
      <c r="B65">
        <f>((RawData!B36-RawData!B37)*(RawData!B39+A65+RawData!B38-SQRT(POWER(RawData!B39+A65+RawData!B38,2)-(4*RawData!B39*A65)))/(2*RawData!B39))+RawData!B37</f>
        <v>839.09403909724119</v>
      </c>
    </row>
    <row r="66" spans="1:2">
      <c r="A66">
        <v>3.6735872071362999E-5</v>
      </c>
      <c r="B66">
        <f>((RawData!B36-RawData!B37)*(RawData!B39+A66+RawData!B38-SQRT(POWER(RawData!B39+A66+RawData!B38,2)-(4*RawData!B39*A66)))/(2*RawData!B39))+RawData!B37</f>
        <v>838.24535179847021</v>
      </c>
    </row>
    <row r="67" spans="1:2">
      <c r="A67">
        <v>3.4915223064757102E-5</v>
      </c>
      <c r="B67">
        <f>((RawData!B36-RawData!B37)*(RawData!B39+A67+RawData!B38-SQRT(POWER(RawData!B39+A67+RawData!B38,2)-(4*RawData!B39*A67)))/(2*RawData!B39))+RawData!B37</f>
        <v>837.40033302600955</v>
      </c>
    </row>
    <row r="68" spans="1:2">
      <c r="A68">
        <v>3.3184806373823901E-5</v>
      </c>
      <c r="B68">
        <f>((RawData!B36-RawData!B37)*(RawData!B39+A68+RawData!B38-SQRT(POWER(RawData!B39+A68+RawData!B38,2)-(4*RawData!B39*A68)))/(2*RawData!B39))+RawData!B37</f>
        <v>836.56004432417888</v>
      </c>
    </row>
    <row r="69" spans="1:2">
      <c r="A69">
        <v>3.15401500378713E-5</v>
      </c>
      <c r="B69">
        <f>((RawData!B36-RawData!B37)*(RawData!B39+A69+RawData!B38-SQRT(POWER(RawData!B39+A69+RawData!B38,2)-(4*RawData!B39*A69)))/(2*RawData!B39))+RawData!B37</f>
        <v>835.72552321288504</v>
      </c>
    </row>
    <row r="70" spans="1:2">
      <c r="A70">
        <v>2.99770037289147E-5</v>
      </c>
      <c r="B70">
        <f>((RawData!B36-RawData!B37)*(RawData!B39+A70+RawData!B38-SQRT(POWER(RawData!B39+A70+RawData!B38,2)-(4*RawData!B39*A70)))/(2*RawData!B39))+RawData!B37</f>
        <v>834.89777819371272</v>
      </c>
    </row>
    <row r="71" spans="1:2">
      <c r="A71">
        <v>2.8491327767444502E-5</v>
      </c>
      <c r="B71">
        <f>((RawData!B36-RawData!B37)*(RawData!B39+A71+RawData!B38-SQRT(POWER(RawData!B39+A71+RawData!B38,2)-(4*RawData!B39*A71)))/(2*RawData!B39))+RawData!B37</f>
        <v>834.07778406295779</v>
      </c>
    </row>
    <row r="72" spans="1:2">
      <c r="A72">
        <v>2.7079282682577198E-5</v>
      </c>
      <c r="B72">
        <f>((RawData!B36-RawData!B37)*(RawData!B39+A72+RawData!B38-SQRT(POWER(RawData!B39+A72+RawData!B38,2)-(4*RawData!B39*A72)))/(2*RawData!B39))+RawData!B37</f>
        <v>833.26647757558521</v>
      </c>
    </row>
    <row r="73" spans="1:2">
      <c r="A73">
        <v>2.57372192896118E-5</v>
      </c>
      <c r="B73">
        <f>((RawData!B36-RawData!B37)*(RawData!B39+A73+RawData!B38-SQRT(POWER(RawData!B39+A73+RawData!B38,2)-(4*RawData!B39*A73)))/(2*RawData!B39))+RawData!B37</f>
        <v>832.46475349797299</v>
      </c>
    </row>
    <row r="74" spans="1:2">
      <c r="A74">
        <v>2.4461669259347101E-5</v>
      </c>
      <c r="B74">
        <f>((RawData!B36-RawData!B37)*(RawData!B39+A74+RawData!B38-SQRT(POWER(RawData!B39+A74+RawData!B38,2)-(4*RawData!B39*A74)))/(2*RawData!B39))+RawData!B37</f>
        <v>831.67346108056438</v>
      </c>
    </row>
    <row r="75" spans="1:2">
      <c r="A75">
        <v>2.32493361547882E-5</v>
      </c>
      <c r="B75">
        <f>((RawData!B36-RawData!B37)*(RawData!B39+A75+RawData!B38-SQRT(POWER(RawData!B39+A75+RawData!B38,2)-(4*RawData!B39*A75)))/(2*RawData!B39))+RawData!B37</f>
        <v>830.89340097459888</v>
      </c>
    </row>
    <row r="76" spans="1:2">
      <c r="A76">
        <v>2.20970869120798E-5</v>
      </c>
      <c r="B76">
        <f>((RawData!B36-RawData!B37)*(RawData!B39+A76+RawData!B38-SQRT(POWER(RawData!B39+A76+RawData!B38,2)-(4*RawData!B39*A76)))/(2*RawData!B39))+RawData!B37</f>
        <v>830.12532260996704</v>
      </c>
    </row>
    <row r="77" spans="1:2">
      <c r="A77">
        <v>2.1001943743647301E-5</v>
      </c>
      <c r="B77">
        <f>((RawData!B36-RawData!B37)*(RawData!B39+A77+RawData!B38-SQRT(POWER(RawData!B39+A77+RawData!B38,2)-(4*RawData!B39*A77)))/(2*RawData!B39))+RawData!B37</f>
        <v>829.36992204406761</v>
      </c>
    </row>
    <row r="78" spans="1:2">
      <c r="A78">
        <v>1.9961076442623801E-5</v>
      </c>
      <c r="B78">
        <f>((RawData!B36-RawData!B37)*(RawData!B39+A78+RawData!B38-SQRT(POWER(RawData!B39+A78+RawData!B38,2)-(4*RawData!B39*A78)))/(2*RawData!B39))+RawData!B37</f>
        <v>828.62784028453768</v>
      </c>
    </row>
    <row r="79" spans="1:2">
      <c r="A79">
        <v>1.89717950686728E-5</v>
      </c>
      <c r="B79">
        <f>((RawData!B36-RawData!B37)*(RawData!B39+A79+RawData!B38-SQRT(POWER(RawData!B39+A79+RawData!B38,2)-(4*RawData!B39*A79)))/(2*RawData!B39))+RawData!B37</f>
        <v>827.89966208212229</v>
      </c>
    </row>
    <row r="80" spans="1:2">
      <c r="A80">
        <v>1.8031542996305699E-5</v>
      </c>
      <c r="B80">
        <f>((RawData!B36-RawData!B37)*(RawData!B39+A80+RawData!B38-SQRT(POWER(RawData!B39+A80+RawData!B38,2)-(4*RawData!B39*A80)))/(2*RawData!B39))+RawData!B37</f>
        <v>827.18591518378867</v>
      </c>
    </row>
    <row r="81" spans="1:2">
      <c r="A81">
        <v>1.7137890307728699E-5</v>
      </c>
      <c r="B81">
        <f>((RawData!B36-RawData!B37)*(RawData!B39+A81+RawData!B38-SQRT(POWER(RawData!B39+A81+RawData!B38,2)-(4*RawData!B39*A81)))/(2*RawData!B39))+RawData!B37</f>
        <v>826.48707003036623</v>
      </c>
    </row>
    <row r="82" spans="1:2">
      <c r="A82">
        <v>1.6288527513142699E-5</v>
      </c>
      <c r="B82">
        <f>((RawData!B36-RawData!B37)*(RawData!B39+A82+RawData!B38-SQRT(POWER(RawData!B39+A82+RawData!B38,2)-(4*RawData!B39*A82)))/(2*RawData!B39))+RawData!B37</f>
        <v>825.80353987811566</v>
      </c>
    </row>
    <row r="83" spans="1:2">
      <c r="A83">
        <v>1.5481259582269301E-5</v>
      </c>
      <c r="B83">
        <f>((RawData!B36-RawData!B37)*(RawData!B39+A83+RawData!B38-SQRT(POWER(RawData!B39+A83+RawData!B38,2)-(4*RawData!B39*A83)))/(2*RawData!B39))+RawData!B37</f>
        <v>825.13568131924364</v>
      </c>
    </row>
    <row r="84" spans="1:2">
      <c r="A84">
        <v>1.47140002716774E-5</v>
      </c>
      <c r="B84">
        <f>((RawData!B36-RawData!B37)*(RawData!B39+A84+RawData!B38-SQRT(POWER(RawData!B39+A84+RawData!B38,2)-(4*RawData!B39*A84)))/(2*RawData!B39))+RawData!B37</f>
        <v>824.48379517271576</v>
      </c>
    </row>
    <row r="85" spans="1:2">
      <c r="A85">
        <v>1.3984766733249699E-5</v>
      </c>
      <c r="B85">
        <f>((RawData!B36-RawData!B37)*(RawData!B39+A85+RawData!B38-SQRT(POWER(RawData!B39+A85+RawData!B38,2)-(4*RawData!B39*A85)))/(2*RawData!B39))+RawData!B37</f>
        <v>823.84812771396821</v>
      </c>
    </row>
    <row r="86" spans="1:2">
      <c r="A86">
        <v>1.3291674389857199E-5</v>
      </c>
      <c r="B86">
        <f>((RawData!B36-RawData!B37)*(RawData!B39+A86+RawData!B38-SQRT(POWER(RawData!B39+A86+RawData!B38,2)-(4*RawData!B39*A86)))/(2*RawData!B39))+RawData!B37</f>
        <v>823.22887220989389</v>
      </c>
    </row>
    <row r="87" spans="1:2">
      <c r="A87">
        <v>1.2632932064998E-5</v>
      </c>
      <c r="B87">
        <f>((RawData!B36-RawData!B37)*(RawData!B39+A87+RawData!B38-SQRT(POWER(RawData!B39+A87+RawData!B38,2)-(4*RawData!B39*A87)))/(2*RawData!B39))+RawData!B37</f>
        <v>822.62617072418175</v>
      </c>
    </row>
    <row r="88" spans="1:2">
      <c r="A88">
        <v>1.20068373538127E-5</v>
      </c>
      <c r="B88">
        <f>((RawData!B36-RawData!B37)*(RawData!B39+A88+RawData!B38-SQRT(POWER(RawData!B39+A88+RawData!B38,2)-(4*RawData!B39*A88)))/(2*RawData!B39))+RawData!B37</f>
        <v>822.04011615728689</v>
      </c>
    </row>
    <row r="89" spans="1:2">
      <c r="A89">
        <v>1.1411772223516301E-5</v>
      </c>
      <c r="B89">
        <f>((RawData!B36-RawData!B37)*(RawData!B39+A89+RawData!B38-SQRT(POWER(RawData!B39+A89+RawData!B38,2)-(4*RawData!B39*A89)))/(2*RawData!B39))+RawData!B37</f>
        <v>821.47075448534838</v>
      </c>
    </row>
    <row r="90" spans="1:2">
      <c r="A90">
        <v>1.0846198831873499E-5</v>
      </c>
      <c r="B90">
        <f>((RawData!B36-RawData!B37)*(RawData!B39+A90+RawData!B38-SQRT(POWER(RawData!B39+A90+RawData!B38,2)-(4*RawData!B39*A90)))/(2*RawData!B39))+RawData!B37</f>
        <v>820.91808716270702</v>
      </c>
    </row>
    <row r="91" spans="1:2">
      <c r="A91">
        <v>1.03086555529133E-5</v>
      </c>
      <c r="B91">
        <f>((RawData!B36-RawData!B37)*(RawData!B39+A91+RawData!B38-SQRT(POWER(RawData!B39+A91+RawData!B38,2)-(4*RawData!B39*A91)))/(2*RawData!B39))+RawData!B37</f>
        <v>820.38207365385995</v>
      </c>
    </row>
    <row r="92" spans="1:2">
      <c r="A92">
        <v>9.7977531996115093E-6</v>
      </c>
      <c r="B92">
        <f>((RawData!B36-RawData!B37)*(RawData!B39+A92+RawData!B38-SQRT(POWER(RawData!B39+A92+RawData!B38,2)-(4*RawData!B39*A92)))/(2*RawData!B39))+RawData!B37</f>
        <v>819.86263406196724</v>
      </c>
    </row>
    <row r="93" spans="1:2">
      <c r="A93">
        <v>9.3121714337780993E-6</v>
      </c>
      <c r="B93">
        <f>((RawData!B36-RawData!B37)*(RawData!B39+A93+RawData!B38-SQRT(POWER(RawData!B39+A93+RawData!B38,2)-(4*RawData!B39*A93)))/(2*RawData!B39))+RawData!B37</f>
        <v>819.35965182287157</v>
      </c>
    </row>
    <row r="94" spans="1:2">
      <c r="A94">
        <v>8.8506553538735095E-6</v>
      </c>
      <c r="B94">
        <f>((RawData!B36-RawData!B37)*(RawData!B39+A94+RawData!B38-SQRT(POWER(RawData!B39+A94+RawData!B38,2)-(4*RawData!B39*A94)))/(2*RawData!B39))+RawData!B37</f>
        <v>818.87297643573424</v>
      </c>
    </row>
    <row r="95" spans="1:2">
      <c r="A95">
        <v>8.4120122519338493E-6</v>
      </c>
      <c r="B95">
        <f>((RawData!B36-RawData!B37)*(RawData!B39+A95+RawData!B38-SQRT(POWER(RawData!B39+A95+RawData!B38,2)-(4*RawData!B39*A95)))/(2*RawData!B39))+RawData!B37</f>
        <v>818.40242620353285</v>
      </c>
    </row>
    <row r="96" spans="1:2">
      <c r="A96">
        <v>7.9951085312248792E-6</v>
      </c>
      <c r="B96">
        <f>((RawData!B36-RawData!B37)*(RawData!B39+A96+RawData!B38-SQRT(POWER(RawData!B39+A96+RawData!B38,2)-(4*RawData!B39*A96)))/(2*RawData!B39))+RawData!B37</f>
        <v>817.94779095926276</v>
      </c>
    </row>
    <row r="97" spans="1:2">
      <c r="A97">
        <v>7.5988667766585503E-6</v>
      </c>
      <c r="B97">
        <f>((RawData!B36-RawData!B37)*(RawData!B39+A97+RawData!B38-SQRT(POWER(RawData!B39+A97+RawData!B38,2)-(4*RawData!B39*A97)))/(2*RawData!B39))+RawData!B37</f>
        <v>817.50883475608805</v>
      </c>
    </row>
    <row r="98" spans="1:2">
      <c r="A98">
        <v>7.2222629704013204E-6</v>
      </c>
      <c r="B98">
        <f>((RawData!B36-RawData!B37)*(RawData!B39+A98+RawData!B38-SQRT(POWER(RawData!B39+A98+RawData!B38,2)-(4*RawData!B39*A98)))/(2*RawData!B39))+RawData!B37</f>
        <v>817.0852985023098</v>
      </c>
    </row>
    <row r="99" spans="1:2">
      <c r="A99">
        <v>6.8643238454782997E-6</v>
      </c>
      <c r="B99">
        <f>((RawData!B36-RawData!B37)*(RawData!B39+A99+RawData!B38-SQRT(POWER(RawData!B39+A99+RawData!B38,2)-(4*RawData!B39*A99)))/(2*RawData!B39))+RawData!B37</f>
        <v>816.67690252453565</v>
      </c>
    </row>
    <row r="100" spans="1:2">
      <c r="A100">
        <v>6.5241243705342E-6</v>
      </c>
      <c r="B100">
        <f>((RawData!B36-RawData!B37)*(RawData!B39+A100+RawData!B38-SQRT(POWER(RawData!B39+A100+RawData!B38,2)-(4*RawData!B39*A100)))/(2*RawData!B39))+RawData!B37</f>
        <v>816.28334904494625</v>
      </c>
    </row>
    <row r="101" spans="1:2">
      <c r="A101">
        <v>6.2007853592508403E-6</v>
      </c>
      <c r="B101">
        <f>((RawData!B36-RawData!B37)*(RawData!B39+A101+RawData!B38-SQRT(POWER(RawData!B39+A101+RawData!B38,2)-(4*RawData!B39*A101)))/(2*RawData!B39))+RawData!B37</f>
        <v>815.90432456083852</v>
      </c>
    </row>
    <row r="102" spans="1:2">
      <c r="A102">
        <v>5.8934711982431598E-6</v>
      </c>
      <c r="B102">
        <f>((RawData!B36-RawData!B37)*(RawData!B39+A102+RawData!B38-SQRT(POWER(RawData!B39+A102+RawData!B38,2)-(4*RawData!B39*A102)))/(2*RawData!B39))+RawData!B37</f>
        <v>815.5395021170491</v>
      </c>
    </row>
    <row r="103" spans="1:2">
      <c r="A103">
        <v>5.6013876875618803E-6</v>
      </c>
      <c r="B103">
        <f>((RawData!B36-RawData!B37)*(RawData!B39+A103+RawData!B38-SQRT(POWER(RawData!B39+A103+RawData!B38,2)-(4*RawData!B39*A103)))/(2*RawData!B39))+RawData!B37</f>
        <v>815.18854346382147</v>
      </c>
    </row>
    <row r="104" spans="1:2">
      <c r="A104">
        <v>5.3237799882220298E-6</v>
      </c>
      <c r="B104">
        <f>((RawData!B36-RawData!B37)*(RawData!B39+A104+RawData!B38-SQRT(POWER(RawData!B39+A104+RawData!B38,2)-(4*RawData!B39*A104)))/(2*RawData!B39))+RawData!B37</f>
        <v>814.85110109478319</v>
      </c>
    </row>
    <row r="105" spans="1:2">
      <c r="A105">
        <v>5.0599306714529699E-6</v>
      </c>
      <c r="B105">
        <f>((RawData!B36-RawData!B37)*(RawData!B39+A105+RawData!B38-SQRT(POWER(RawData!B39+A105+RawData!B38,2)-(4*RawData!B39*A105)))/(2*RawData!B39))+RawData!B37</f>
        <v>814.52682016134179</v>
      </c>
    </row>
    <row r="106" spans="1:2">
      <c r="A106">
        <v>4.8091578646286298E-6</v>
      </c>
      <c r="B106">
        <f>((RawData!B36-RawData!B37)*(RawData!B39+A106+RawData!B38-SQRT(POWER(RawData!B39+A106+RawData!B38,2)-(4*RawData!B39*A106)))/(2*RawData!B39))+RawData!B37</f>
        <v>814.21534026156917</v>
      </c>
    </row>
    <row r="107" spans="1:2">
      <c r="A107">
        <v>4.57081348908643E-6</v>
      </c>
      <c r="B107">
        <f>((RawData!B36-RawData!B37)*(RawData!B39+A107+RawData!B38-SQRT(POWER(RawData!B39+A107+RawData!B38,2)-(4*RawData!B39*A107)))/(2*RawData!B39))+RawData!B37</f>
        <v>813.91629710299776</v>
      </c>
    </row>
    <row r="108" spans="1:2">
      <c r="A108">
        <v>4.3442815852808004E-6</v>
      </c>
      <c r="B108">
        <f>((RawData!B36-RawData!B37)*(RawData!B39+A108+RawData!B38-SQRT(POWER(RawData!B39+A108+RawData!B38,2)-(4*RawData!B39*A108)))/(2*RawData!B39))+RawData!B37</f>
        <v>813.62932404003664</v>
      </c>
    </row>
    <row r="109" spans="1:2">
      <c r="A109">
        <v>4.12897672094294E-6</v>
      </c>
      <c r="B109">
        <f>((RawData!B36-RawData!B37)*(RawData!B39+A109+RawData!B38-SQRT(POWER(RawData!B39+A109+RawData!B38,2)-(4*RawData!B39*A109)))/(2*RawData!B39))+RawData!B37</f>
        <v>813.35405348782376</v>
      </c>
    </row>
    <row r="110" spans="1:2">
      <c r="A110">
        <v>3.9243424781330697E-6</v>
      </c>
      <c r="B110">
        <f>((RawData!B36-RawData!B37)*(RawData!B39+A110+RawData!B38-SQRT(POWER(RawData!B39+A110+RawData!B38,2)-(4*RawData!B39*A110)))/(2*RawData!B39))+RawData!B37</f>
        <v>813.09011821523927</v>
      </c>
    </row>
    <row r="111" spans="1:2">
      <c r="A111">
        <v>3.7298500152751101E-6</v>
      </c>
      <c r="B111">
        <f>((RawData!B36-RawData!B37)*(RawData!B39+A111+RawData!B38-SQRT(POWER(RawData!B39+A111+RawData!B38,2)-(4*RawData!B39*A111)))/(2*RawData!B39))+RawData!B37</f>
        <v>812.8371525206727</v>
      </c>
    </row>
    <row r="112" spans="1:2">
      <c r="A112">
        <v>3.5449967004577E-6</v>
      </c>
      <c r="B112">
        <f>((RawData!B36-RawData!B37)*(RawData!B39+A112+RawData!B38-SQRT(POWER(RawData!B39+A112+RawData!B38,2)-(4*RawData!B39*A112)))/(2*RawData!B39))+RawData!B37</f>
        <v>812.59479329461897</v>
      </c>
    </row>
    <row r="113" spans="1:2">
      <c r="A113">
        <v>3.36930481246953E-6</v>
      </c>
      <c r="B113">
        <f>((RawData!B36-RawData!B37)*(RawData!B39+A113+RawData!B38-SQRT(POWER(RawData!B39+A113+RawData!B38,2)-(4*RawData!B39*A113)))/(2*RawData!B39))+RawData!B37</f>
        <v>812.36268097387108</v>
      </c>
    </row>
    <row r="114" spans="1:2">
      <c r="A114">
        <v>3.2023203062120301E-6</v>
      </c>
      <c r="B114">
        <f>((RawData!B36-RawData!B37)*(RawData!B39+A114+RawData!B38-SQRT(POWER(RawData!B39+A114+RawData!B38,2)-(4*RawData!B39*A114)))/(2*RawData!B39))+RawData!B37</f>
        <v>812.14046039235109</v>
      </c>
    </row>
    <row r="115" spans="1:2">
      <c r="A115">
        <v>3.0436116392988598E-6</v>
      </c>
      <c r="B115">
        <f>((RawData!B36-RawData!B37)*(RawData!B39+A115+RawData!B38-SQRT(POWER(RawData!B39+A115+RawData!B38,2)-(4*RawData!B39*A115)))/(2*RawData!B39))+RawData!B37</f>
        <v>811.92778153390373</v>
      </c>
    </row>
    <row r="116" spans="1:2">
      <c r="A116">
        <v>2.8927686568097299E-6</v>
      </c>
      <c r="B116">
        <f>((RawData!B36-RawData!B37)*(RawData!B39+A116+RawData!B38-SQRT(POWER(RawData!B39+A116+RawData!B38,2)-(4*RawData!B39*A116)))/(2*RawData!B39))+RawData!B37</f>
        <v>811.72430019268324</v>
      </c>
    </row>
    <row r="117" spans="1:2">
      <c r="A117">
        <v>2.7494015313164202E-6</v>
      </c>
      <c r="B117">
        <f>((RawData!B36-RawData!B37)*(RawData!B39+A117+RawData!B38-SQRT(POWER(RawData!B39+A117+RawData!B38,2)-(4*RawData!B39*A117)))/(2*RawData!B39))+RawData!B37</f>
        <v>811.52967854668475</v>
      </c>
    </row>
    <row r="118" spans="1:2">
      <c r="A118">
        <v>2.6131397554416598E-6</v>
      </c>
      <c r="B118">
        <f>((RawData!B36-RawData!B37)*(RawData!B39+A118+RawData!B38-SQRT(POWER(RawData!B39+A118+RawData!B38,2)-(4*RawData!B39*A118)))/(2*RawData!B39))+RawData!B37</f>
        <v>811.34358565018226</v>
      </c>
    </row>
    <row r="119" spans="1:2">
      <c r="A119">
        <v>2.4836311843472999E-6</v>
      </c>
      <c r="B119">
        <f>((RawData!B36-RawData!B37)*(RawData!B39+A119+RawData!B38-SQRT(POWER(RawData!B39+A119+RawData!B38,2)-(4*RawData!B39*A119)))/(2*RawData!B39))+RawData!B37</f>
        <v>811.16569785068782</v>
      </c>
    </row>
    <row r="120" spans="1:2">
      <c r="A120">
        <v>2.3605411256773101E-6</v>
      </c>
      <c r="B120">
        <f>((RawData!B36-RawData!B37)*(RawData!B39+A120+RawData!B38-SQRT(POWER(RawData!B39+A120+RawData!B38,2)-(4*RawData!B39*A120)))/(2*RawData!B39))+RawData!B37</f>
        <v>810.99569913601408</v>
      </c>
    </row>
    <row r="121" spans="1:2">
      <c r="A121">
        <v>2.24355147460361E-6</v>
      </c>
      <c r="B121">
        <f>((RawData!B36-RawData!B37)*(RawData!B39+A121+RawData!B38-SQRT(POWER(RawData!B39+A121+RawData!B38,2)-(4*RawData!B39*A121)))/(2*RawData!B39))+RawData!B37</f>
        <v>810.83328141685899</v>
      </c>
    </row>
    <row r="122" spans="1:2">
      <c r="A122">
        <v>2.1323598917395601E-6</v>
      </c>
      <c r="B122">
        <f>((RawData!B36-RawData!B37)*(RawData!B39+A122+RawData!B38-SQRT(POWER(RawData!B39+A122+RawData!B38,2)-(4*RawData!B39*A122)))/(2*RawData!B39))+RawData!B37</f>
        <v>810.67814475022374</v>
      </c>
    </row>
    <row r="123" spans="1:2">
      <c r="A123">
        <v>2.0266790217964101E-6</v>
      </c>
      <c r="B123">
        <f>((RawData!B36-RawData!B37)*(RawData!B39+A123+RawData!B38-SQRT(POWER(RawData!B39+A123+RawData!B38,2)-(4*RawData!B39*A123)))/(2*RawData!B39))+RawData!B37</f>
        <v>810.52999750870129</v>
      </c>
    </row>
    <row r="124" spans="1:2">
      <c r="A124">
        <v>1.92623575096362E-6</v>
      </c>
      <c r="B124">
        <f>((RawData!B36-RawData!B37)*(RawData!B39+A124+RawData!B38-SQRT(POWER(RawData!B39+A124+RawData!B38,2)-(4*RawData!B39*A124)))/(2*RawData!B39))+RawData!B37</f>
        <v>810.38855650053631</v>
      </c>
    </row>
    <row r="125" spans="1:2">
      <c r="A125">
        <v>1.8307705010937301E-6</v>
      </c>
      <c r="B125">
        <f>((RawData!B36-RawData!B37)*(RawData!B39+A125+RawData!B38-SQRT(POWER(RawData!B39+A125+RawData!B38,2)-(4*RawData!B39*A125)))/(2*RawData!B39))+RawData!B37</f>
        <v>810.25354704508686</v>
      </c>
    </row>
    <row r="126" spans="1:2">
      <c r="A126">
        <v>1.7400365588678701E-6</v>
      </c>
      <c r="B126">
        <f>((RawData!B36-RawData!B37)*(RawData!B39+A126+RawData!B38-SQRT(POWER(RawData!B39+A126+RawData!B38,2)-(4*RawData!B39*A126)))/(2*RawData!B39))+RawData!B37</f>
        <v>810.12470300804807</v>
      </c>
    </row>
    <row r="127" spans="1:2">
      <c r="A127">
        <v>1.65379943820808E-6</v>
      </c>
      <c r="B127">
        <f>((RawData!B36-RawData!B37)*(RawData!B39+A127+RawData!B38-SQRT(POWER(RawData!B39+A127+RawData!B38,2)-(4*RawData!B39*A127)))/(2*RawData!B39))+RawData!B37</f>
        <v>810.00176680061611</v>
      </c>
    </row>
    <row r="128" spans="1:2">
      <c r="A128">
        <v>1.57183627428891E-6</v>
      </c>
      <c r="B128">
        <f>((RawData!B36-RawData!B37)*(RawData!B39+A128+RawData!B38-SQRT(POWER(RawData!B39+A128+RawData!B38,2)-(4*RawData!B39*A128)))/(2*RawData!B39))+RawData!B37</f>
        <v>809.88448934646669</v>
      </c>
    </row>
    <row r="129" spans="1:2">
      <c r="A129">
        <v>1.49393524758204E-6</v>
      </c>
      <c r="B129">
        <f>((RawData!B36-RawData!B37)*(RawData!B39+A129+RawData!B38-SQRT(POWER(RawData!B39+A129+RawData!B38,2)-(4*RawData!B39*A129)))/(2*RawData!B39))+RawData!B37</f>
        <v>809.77263002016889</v>
      </c>
    </row>
    <row r="130" spans="1:2">
      <c r="A130">
        <v>1.4198950364456299E-6</v>
      </c>
      <c r="B130">
        <f>((RawData!B36-RawData!B37)*(RawData!B39+A130+RawData!B38-SQRT(POWER(RawData!B39+A130+RawData!B38,2)-(4*RawData!B39*A130)))/(2*RawData!B39))+RawData!B37</f>
        <v>809.66595656045388</v>
      </c>
    </row>
    <row r="131" spans="1:2">
      <c r="A131">
        <v>1.3495242968435499E-6</v>
      </c>
      <c r="B131">
        <f>((RawData!B36-RawData!B37)*(RawData!B39+A131+RawData!B38-SQRT(POWER(RawData!B39+A131+RawData!B38,2)-(4*RawData!B39*A131)))/(2*RawData!B39))+RawData!B37</f>
        <v>809.56424496143211</v>
      </c>
    </row>
    <row r="132" spans="1:2">
      <c r="A132">
        <v>1.28264116785002E-6</v>
      </c>
      <c r="B132">
        <f>((RawData!B36-RawData!B37)*(RawData!B39+A132+RawData!B38-SQRT(POWER(RawData!B39+A132+RawData!B38,2)-(4*RawData!B39*A132)))/(2*RawData!B39))+RawData!B37</f>
        <v>809.46727934471232</v>
      </c>
    </row>
    <row r="133" spans="1:2">
      <c r="A133">
        <v>1.21907280166175E-6</v>
      </c>
      <c r="B133">
        <f>((RawData!B36-RawData!B37)*(RawData!B39+A133+RawData!B38-SQRT(POWER(RawData!B39+A133+RawData!B38,2)-(4*RawData!B39*A133)))/(2*RawData!B39))+RawData!B37</f>
        <v>809.3748518150561</v>
      </c>
    </row>
    <row r="134" spans="1:2">
      <c r="A134">
        <v>1.1586549169028299E-6</v>
      </c>
      <c r="B134">
        <f>((RawData!B36-RawData!B37)*(RawData!B39+A134+RawData!B38-SQRT(POWER(RawData!B39+A134+RawData!B38,2)-(4*RawData!B39*A134)))/(2*RawData!B39))+RawData!B37</f>
        <v>809.28676230204974</v>
      </c>
    </row>
    <row r="135" spans="1:2">
      <c r="A135">
        <v>1.10123137406818E-6</v>
      </c>
      <c r="B135">
        <f>((RawData!B36-RawData!B37)*(RawData!B39+A135+RawData!B38-SQRT(POWER(RawData!B39+A135+RawData!B38,2)-(4*RawData!B39*A135)))/(2*RawData!B39))+RawData!B37</f>
        <v>809.20281839001029</v>
      </c>
    </row>
    <row r="136" spans="1:2">
      <c r="A136">
        <v>1.04665377200811E-6</v>
      </c>
      <c r="B136">
        <f>((RawData!B36-RawData!B37)*(RawData!B39+A136+RawData!B38-SQRT(POWER(RawData!B39+A136+RawData!B38,2)-(4*RawData!B39*A136)))/(2*RawData!B39))+RawData!B37</f>
        <v>809.12283513819079</v>
      </c>
    </row>
    <row r="137" spans="1:2">
      <c r="A137">
        <v>9.9478106441143197E-7</v>
      </c>
      <c r="B137">
        <f>((RawData!B36-RawData!B37)*(RawData!B39+A137+RawData!B38-SQRT(POWER(RawData!B39+A137+RawData!B38,2)-(4*RawData!B39*A137)))/(2*RawData!B39))+RawData!B37</f>
        <v>809.04663489313884</v>
      </c>
    </row>
    <row r="138" spans="1:2">
      <c r="A138">
        <v>9.4547919529579705E-7</v>
      </c>
      <c r="B138">
        <f>((RawData!B36-RawData!B37)*(RawData!B39+A138+RawData!B38-SQRT(POWER(RawData!B39+A138+RawData!B38,2)-(4*RawData!B39*A138)))/(2*RawData!B39))+RawData!B37</f>
        <v>808.97404709486523</v>
      </c>
    </row>
    <row r="139" spans="1:2">
      <c r="A139">
        <v>8.9862075256336697E-7</v>
      </c>
      <c r="B139">
        <f>((RawData!B36-RawData!B37)*(RawData!B39+A139+RawData!B38-SQRT(POWER(RawData!B39+A139+RawData!B38,2)-(4*RawData!B39*A139)))/(2*RawData!B39))+RawData!B37</f>
        <v>808.90490807837318</v>
      </c>
    </row>
    <row r="140" spans="1:2">
      <c r="A140">
        <v>8.5408463872641405E-7</v>
      </c>
      <c r="B140">
        <f>((RawData!B36-RawData!B37)*(RawData!B39+A140+RawData!B38-SQRT(POWER(RawData!B39+A140+RawData!B38,2)-(4*RawData!B39*A140)))/(2*RawData!B39))+RawData!B37</f>
        <v>808.83906087186517</v>
      </c>
    </row>
    <row r="141" spans="1:2">
      <c r="A141">
        <v>8.1175575795195304E-7</v>
      </c>
      <c r="B141">
        <f>((RawData!B36-RawData!B37)*(RawData!B39+A141+RawData!B38-SQRT(POWER(RawData!B39+A141+RawData!B38,2)-(4*RawData!B39*A141)))/(2*RawData!B39))+RawData!B37</f>
        <v>808.77635499287703</v>
      </c>
    </row>
    <row r="142" spans="1:2">
      <c r="A142">
        <v>7.7152471861659004E-7</v>
      </c>
      <c r="B142">
        <f>((RawData!B36-RawData!B37)*(RawData!B39+A142+RawData!B38-SQRT(POWER(RawData!B39+A142+RawData!B38,2)-(4*RawData!B39*A142)))/(2*RawData!B39))+RawData!B37</f>
        <v>808.71664624339962</v>
      </c>
    </row>
    <row r="143" spans="1:2">
      <c r="A143">
        <v>7.3328755060292597E-7</v>
      </c>
      <c r="B143">
        <f>((RawData!B36-RawData!B37)*(RawData!B39+A143+RawData!B38-SQRT(POWER(RawData!B39+A143+RawData!B38,2)-(4*RawData!B39*A143)))/(2*RawData!B39))+RawData!B37</f>
        <v>808.65979650496024</v>
      </c>
    </row>
    <row r="144" spans="1:2">
      <c r="A144">
        <v>6.9694543660687795E-7</v>
      </c>
      <c r="B144">
        <f>((RawData!B36-RawData!B37)*(RawData!B39+A144+RawData!B38-SQRT(POWER(RawData!B39+A144+RawData!B38,2)-(4*RawData!B39*A144)))/(2*RawData!B39))+RawData!B37</f>
        <v>808.60567353447129</v>
      </c>
    </row>
    <row r="145" spans="1:2">
      <c r="A145">
        <v>6.6240445676156803E-7</v>
      </c>
      <c r="B145">
        <f>((RawData!B36-RawData!B37)*(RawData!B39+A145+RawData!B38-SQRT(POWER(RawData!B39+A145+RawData!B38,2)-(4*RawData!B39*A145)))/(2*RawData!B39))+RawData!B37</f>
        <v>808.55415076165684</v>
      </c>
    </row>
    <row r="146" spans="1:2">
      <c r="A146">
        <v>6.2957534591777196E-7</v>
      </c>
      <c r="B146">
        <f>((RawData!B36-RawData!B37)*(RawData!B39+A146+RawData!B38-SQRT(POWER(RawData!B39+A146+RawData!B38,2)-(4*RawData!B39*A146)))/(2*RawData!B39))+RawData!B37</f>
        <v>808.50510708862464</v>
      </c>
    </row>
    <row r="147" spans="1:2">
      <c r="A147">
        <v>5.9837326295368504E-7</v>
      </c>
      <c r="B147">
        <f>((RawData!B36-RawData!B37)*(RawData!B39+A147+RawData!B38-SQRT(POWER(RawData!B39+A147+RawData!B38,2)-(4*RawData!B39*A147)))/(2*RawData!B39))+RawData!B37</f>
        <v>808.45842669218507</v>
      </c>
    </row>
    <row r="148" spans="1:2">
      <c r="A148">
        <v>5.6871757151780898E-7</v>
      </c>
      <c r="B148">
        <f>((RawData!B36-RawData!B37)*(RawData!B39+A148+RawData!B38-SQRT(POWER(RawData!B39+A148+RawData!B38,2)-(4*RawData!B39*A148)))/(2*RawData!B39))+RawData!B37</f>
        <v>808.41399882939891</v>
      </c>
    </row>
    <row r="149" spans="1:2">
      <c r="A149">
        <v>5.4053163163834205E-7</v>
      </c>
      <c r="B149">
        <f>((RawData!B36-RawData!B37)*(RawData!B39+A149+RawData!B38-SQRT(POWER(RawData!B39+A149+RawData!B38,2)-(4*RawData!B39*A149)))/(2*RawData!B39))+RawData!B37</f>
        <v>808.37171764671643</v>
      </c>
    </row>
    <row r="150" spans="1:2">
      <c r="A150">
        <v>5.1374260166051397E-7</v>
      </c>
      <c r="B150">
        <f>((RawData!B36-RawData!B37)*(RawData!B39+A150+RawData!B38-SQRT(POWER(RawData!B39+A150+RawData!B38,2)-(4*RawData!B39*A150)))/(2*RawData!B39))+RawData!B37</f>
        <v>808.33148199310949</v>
      </c>
    </row>
    <row r="151" spans="1:2">
      <c r="A151">
        <v>4.88281250000007E-7</v>
      </c>
      <c r="B151">
        <f>((RawData!B36-RawData!B37)*(RawData!B39+A151+RawData!B38-SQRT(POWER(RawData!B39+A151+RawData!B38,2)-(4*RawData!B39*A151)))/(2*RawData!B39))+RawData!B37</f>
        <v>808.29319523742583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2025-05-19T14:18:29Z</dcterms:created>
  <dcterms:modified xsi:type="dcterms:W3CDTF">2025-05-19T14:18:29Z</dcterms:modified>
  <cp:category/>
  <cp:contentStatus/>
</cp:coreProperties>
</file>