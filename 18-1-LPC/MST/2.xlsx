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72e6814c0946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1e6e6f02dfa42c5"/>
    <sheet name="Graph" sheetId="2" r:id="Rd98056413c044711"/>
    <sheet name="Fit-Values" sheetId="3" r:id="Rbe57638025964723"/>
  </sheets>
</workbook>
</file>

<file path=xl/sharedStrings.xml><?xml version="1.0" encoding="utf-8"?>
<sst xmlns="http://schemas.openxmlformats.org/spreadsheetml/2006/main" count="60" uniqueCount="60">
  <si>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</si>
  <si>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</si>
  <si>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</si>
  <si>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</si>
  <si>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</si>
  <si>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</si>
  <si>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</si>
  <si>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</si>
  <si>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</si>
  <si>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</si>
  <si>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</si>
  <si>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</si>
  <si>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</si>
  <si>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</si>
  <si>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</si>
  <si>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</si>
  <si>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</si>
  <si>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</si>
  <si>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</si>
  <si>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</si>
  <si>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</si>
  <si>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</si>
  <si>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</si>
  <si>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</si>
  <si>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</si>
  <si>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</si>
  <si>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2025-01-22 10:58:57.131 → 2025-01-22 11:09:05.191</t>
  </si>
  <si>
    <t>Capillary Type:</t>
  </si>
  <si>
    <t>Unspecified container/capillary type</t>
  </si>
  <si>
    <t>Target:</t>
  </si>
  <si>
    <t>CD1d</t>
  </si>
  <si>
    <t>TargetConcentration:</t>
  </si>
  <si>
    <t>Ligand:</t>
  </si>
  <si>
    <t>LPC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</si>
  <si>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</si>
  <si>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</si>
  <si>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</si>
  <si>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</si>
  <si>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</si>
  <si>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</si>
  <si>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</si>
  <si>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</si>
  <si>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</si>
  <si>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</si>
  <si>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</si>
  <si>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</si>
  <si>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</si>
  <si>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</si>
  <si>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</si>
  <si>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Fit Results (Hill)</t>
  </si>
  <si>
    <t>Hill</t>
  </si>
  <si>
    <t>Hill Coeff.</t>
  </si>
  <si>
    <t>EC50</t>
  </si>
  <si>
    <t>EC50 Confidence: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</si>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</sst>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6">
    <numFmt numFmtId="164" formatCode="yyyy-MM-dd HH:mm:ss.000"/>
    <numFmt numFmtId="165" formatCode="General\s"/>
    <numFmt numFmtId="166" formatCode="General\%"/>
    <numFmt numFmtId="167" formatCode="0.0°C"/>
    <numFmt numFmtId="168" formatCode="General 🔒"/>
    <numFmt numFmtId="169" formatCode="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5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168" fontId="0" fillId="4" borderId="1" xfId="0">
      <alignment horizontal="left" vertical="top"/>
    </xf>
    <xf numFmtId="169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e6e6f02dfa42c5" /><Relationship Type="http://schemas.openxmlformats.org/officeDocument/2006/relationships/worksheet" Target="worksheets/sheet2.xml" Id="Rd98056413c044711" /><Relationship Type="http://schemas.openxmlformats.org/officeDocument/2006/relationships/worksheet" Target="worksheets/sheet3.xml" Id="Rbe57638025964723" /><Relationship Type="http://schemas.openxmlformats.org/officeDocument/2006/relationships/styles" Target="styles.xml" Id="R86729645f92e4849" /><Relationship Type="http://schemas.openxmlformats.org/officeDocument/2006/relationships/sharedStrings" Target="sharedStrings.xml" Id="R589b0185cd7e49ac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kd 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'Fit-Values'!$B$2:$B$151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RawData!A54:A69</c:f>
            </c:numRef>
          </c:xVal>
          <c:yVal>
            <c:numRef>
              <c:f>RawData!B54:B69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798.939627677763"/>
        <c:crosses val="autoZero"/>
      </c:valAx>
      <c:valAx>
        <c:axId val="2"/>
        <c:scaling>
          <c:orientation val="minMax"/>
          <c:max val="836.941678366717"/>
          <c:min val="798.93962767776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ab19f9059ad94918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ab19f9059ad94918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30f90689622840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9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45684.2821549653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50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</row>
    <row r="35">
      <c r="A35" s="4" t="s">
        <v>42</v>
      </c>
      <c r="B35" s="5" t="s">
        <v>43</v>
      </c>
    </row>
    <row r="36">
      <c r="A36" s="4" t="s">
        <v>44</v>
      </c>
      <c r="B36" s="5">
        <v>834.722778735285</v>
      </c>
    </row>
    <row r="37">
      <c r="A37" s="4" t="s">
        <v>45</v>
      </c>
      <c r="B37" s="5">
        <v>801.885004107447</v>
      </c>
    </row>
    <row r="38">
      <c r="A38" s="4" t="s">
        <v>43</v>
      </c>
      <c r="B38" s="5">
        <v>9.56225685530396e-06</v>
      </c>
    </row>
    <row r="39">
      <c r="A39" s="4" t="s">
        <v>46</v>
      </c>
      <c r="B39" s="11">
        <v>5e-08</v>
      </c>
    </row>
    <row r="40">
      <c r="A40" s="4" t="s">
        <v>47</v>
      </c>
      <c r="B40" s="5">
        <v>3.61156891284587</v>
      </c>
    </row>
    <row r="41">
      <c r="A41" s="4" t="s">
        <v>48</v>
      </c>
      <c r="B41" s="12">
        <v>3.55092432237346e-06</v>
      </c>
    </row>
    <row r="43">
      <c r="A43" s="3" t="s">
        <v>49</v>
      </c>
      <c r="B43" s="3" t="s">
        <v>49</v>
      </c>
    </row>
    <row r="44">
      <c r="A44" s="4" t="s">
        <v>42</v>
      </c>
      <c r="B44" s="5" t="s">
        <v>50</v>
      </c>
    </row>
    <row r="45">
      <c r="A45" s="4" t="s">
        <v>44</v>
      </c>
      <c r="B45" s="5">
        <v>830.959086932113</v>
      </c>
    </row>
    <row r="46">
      <c r="A46" s="4" t="s">
        <v>45</v>
      </c>
      <c r="B46" s="5">
        <v>803.140704686078</v>
      </c>
    </row>
    <row r="47">
      <c r="A47" s="4" t="s">
        <v>51</v>
      </c>
      <c r="B47" s="5">
        <v>2.98118550218145</v>
      </c>
    </row>
    <row r="48">
      <c r="A48" s="4" t="s">
        <v>52</v>
      </c>
      <c r="B48" s="5">
        <v>8.26653782122191e-06</v>
      </c>
    </row>
    <row r="49">
      <c r="A49" s="4" t="s">
        <v>47</v>
      </c>
      <c r="B49" s="5">
        <v>1.5710873507057</v>
      </c>
    </row>
    <row r="50">
      <c r="A50" s="4" t="s">
        <v>53</v>
      </c>
      <c r="B50" s="12">
        <v>6.35701467413384e-07</v>
      </c>
    </row>
    <row r="52">
      <c r="A52" s="3" t="s">
        <v>54</v>
      </c>
      <c r="B52" s="3" t="s">
        <v>54</v>
      </c>
      <c r="C52" s="3" t="s">
        <v>54</v>
      </c>
    </row>
    <row r="53">
      <c r="A53" s="4" t="s">
        <v>55</v>
      </c>
      <c r="B53" s="13" t="s">
        <v>56</v>
      </c>
      <c r="C53" s="13" t="s">
        <v>57</v>
      </c>
    </row>
    <row r="54">
      <c r="A54" s="14">
        <v>0.0002</v>
      </c>
      <c r="B54" s="5">
        <v>829.42193062749</v>
      </c>
      <c r="C54" s="5">
        <v>0</v>
      </c>
    </row>
    <row r="55">
      <c r="A55" s="14">
        <v>0.0001</v>
      </c>
      <c r="B55" s="5">
        <v>829.034318811239</v>
      </c>
      <c r="C55" s="5">
        <v>0</v>
      </c>
    </row>
    <row r="56">
      <c r="A56" s="14">
        <v>5e-05</v>
      </c>
      <c r="B56" s="5">
        <v>831.593803234083</v>
      </c>
      <c r="C56" s="5">
        <v>0</v>
      </c>
    </row>
    <row r="57">
      <c r="A57" s="14">
        <v>2.5e-05</v>
      </c>
      <c r="B57" s="5">
        <v>833.774840809304</v>
      </c>
      <c r="C57" s="5">
        <v>0</v>
      </c>
    </row>
    <row r="58">
      <c r="A58" s="14">
        <v>1.25e-05</v>
      </c>
      <c r="B58" s="5">
        <v>823.163504809808</v>
      </c>
      <c r="C58" s="5">
        <v>0</v>
      </c>
    </row>
    <row r="59">
      <c r="A59" s="14">
        <v>6.25e-06</v>
      </c>
      <c r="B59" s="5">
        <v>812.136723519189</v>
      </c>
      <c r="C59" s="5">
        <v>0</v>
      </c>
    </row>
    <row r="60">
      <c r="A60" s="14">
        <v>3.125e-06</v>
      </c>
      <c r="B60" s="5">
        <v>805.009777268868</v>
      </c>
      <c r="C60" s="5">
        <v>0</v>
      </c>
    </row>
    <row r="61">
      <c r="A61" s="14">
        <v>1.5625e-06</v>
      </c>
      <c r="B61" s="5">
        <v>802.159198473519</v>
      </c>
      <c r="C61" s="5">
        <v>0</v>
      </c>
    </row>
    <row r="62">
      <c r="A62" s="14">
        <v>7.8125e-07</v>
      </c>
      <c r="B62" s="5">
        <v>802.106465235176</v>
      </c>
      <c r="C62" s="5">
        <v>0</v>
      </c>
    </row>
    <row r="63">
      <c r="A63" s="14">
        <v>3.90625e-07</v>
      </c>
      <c r="B63" s="5">
        <v>803.192962086973</v>
      </c>
      <c r="C63" s="5">
        <v>0</v>
      </c>
    </row>
    <row r="64">
      <c r="A64" s="14">
        <v>1.953125e-07</v>
      </c>
      <c r="B64" s="5">
        <v>802.920142153452</v>
      </c>
      <c r="C64" s="5">
        <v>0</v>
      </c>
    </row>
    <row r="65">
      <c r="A65" s="14">
        <v>9.765625e-08</v>
      </c>
      <c r="B65" s="5">
        <v>804.560586261566</v>
      </c>
      <c r="C65" s="5">
        <v>0</v>
      </c>
    </row>
    <row r="66">
      <c r="A66" s="14">
        <v>4.8828125e-08</v>
      </c>
      <c r="B66" s="5">
        <v>802.64562688001</v>
      </c>
      <c r="C66" s="5">
        <v>0</v>
      </c>
    </row>
    <row r="67">
      <c r="A67" s="14">
        <v>2.4414062e-08</v>
      </c>
      <c r="B67" s="5">
        <v>802.963933027515</v>
      </c>
      <c r="C67" s="5">
        <v>0</v>
      </c>
    </row>
    <row r="68">
      <c r="A68" s="14">
        <v>1.2207031e-08</v>
      </c>
      <c r="B68" s="5">
        <v>803.252939537554</v>
      </c>
      <c r="C68" s="5">
        <v>0</v>
      </c>
    </row>
    <row r="69">
      <c r="A69" s="14">
        <v>6.103516e-09</v>
      </c>
      <c r="B69" s="5">
        <v>804.086388418443</v>
      </c>
      <c r="C69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B34"/>
    <mergeCell ref="A43:B43"/>
    <mergeCell ref="A52:C5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30f90689622840f0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51"/>
  <sheetViews>
    <sheetView workbookViewId="0"/>
  </sheetViews>
  <sheetFormatPr defaultRowHeight="15"/>
  <sheetData>
    <row r="1">
      <c r="A1" s="0" t="s">
        <v>58</v>
      </c>
      <c r="B1" s="0" t="s">
        <v>59</v>
      </c>
      <c r="C1" s="0" t="s">
        <v>59</v>
      </c>
    </row>
    <row r="2">
      <c r="A2" s="0">
        <v>0.000186606598383796</v>
      </c>
      <c r="B2" s="0">
        <f>((RawData!B36-RawData!B37)*(RawData!B39+A2+RawData!B38-SQRT(POWER(RawData!B39+A2+RawData!B38,2)-(4*RawData!B39*A2)))/(2*RawData!B39))+RawData!B37</f>
      </c>
      <c r="C2" s="0">
        <f>RawData!B46 + ((RawData!B45 - RawData!B46) * (1 / (1 + (POWER(RawData!B48 / A2, RawData!B47)))))</f>
      </c>
    </row>
    <row r="3">
      <c r="A3" s="0">
        <v>0.000174110112801856</v>
      </c>
      <c r="B3" s="0">
        <f>((RawData!B36-RawData!B37)*(RawData!B39+A3+RawData!B38-SQRT(POWER(RawData!B39+A3+RawData!B38,2)-(4*RawData!B39*A3)))/(2*RawData!B39))+RawData!B37</f>
      </c>
      <c r="C3" s="0">
        <f>RawData!B46 + ((RawData!B45 - RawData!B46) * (1 / (1 + (POWER(RawData!B48 / A3, RawData!B47)))))</f>
      </c>
    </row>
    <row r="4">
      <c r="A4" s="0">
        <v>0.000162450479470866</v>
      </c>
      <c r="B4" s="0">
        <f>((RawData!B36-RawData!B37)*(RawData!B39+A4+RawData!B38-SQRT(POWER(RawData!B39+A4+RawData!B38,2)-(4*RawData!B39*A4)))/(2*RawData!B39))+RawData!B37</f>
      </c>
      <c r="C4" s="0">
        <f>RawData!B46 + ((RawData!B45 - RawData!B46) * (1 / (1 + (POWER(RawData!B48 / A4, RawData!B47)))))</f>
      </c>
    </row>
    <row r="5">
      <c r="A5" s="0">
        <v>0.000151571656899375</v>
      </c>
      <c r="B5" s="0">
        <f>((RawData!B36-RawData!B37)*(RawData!B39+A5+RawData!B38-SQRT(POWER(RawData!B39+A5+RawData!B38,2)-(4*RawData!B39*A5)))/(2*RawData!B39))+RawData!B37</f>
      </c>
      <c r="C5" s="0">
        <f>RawData!B46 + ((RawData!B45 - RawData!B46) * (1 / (1 + (POWER(RawData!B48 / A5, RawData!B47)))))</f>
      </c>
    </row>
    <row r="6">
      <c r="A6" s="0">
        <v>0.00014142135652694</v>
      </c>
      <c r="B6" s="0">
        <f>((RawData!B36-RawData!B37)*(RawData!B39+A6+RawData!B38-SQRT(POWER(RawData!B39+A6+RawData!B38,2)-(4*RawData!B39*A6)))/(2*RawData!B39))+RawData!B37</f>
      </c>
      <c r="C6" s="0">
        <f>RawData!B46 + ((RawData!B45 - RawData!B46) * (1 / (1 + (POWER(RawData!B48 / A6, RawData!B47)))))</f>
      </c>
    </row>
    <row r="7">
      <c r="A7" s="0">
        <v>0.000131950791401572</v>
      </c>
      <c r="B7" s="0">
        <f>((RawData!B36-RawData!B37)*(RawData!B39+A7+RawData!B38-SQRT(POWER(RawData!B39+A7+RawData!B38,2)-(4*RawData!B39*A7)))/(2*RawData!B39))+RawData!B37</f>
      </c>
      <c r="C7" s="0">
        <f>RawData!B46 + ((RawData!B45 - RawData!B46) * (1 / (1 + (POWER(RawData!B48 / A7, RawData!B47)))))</f>
      </c>
    </row>
    <row r="8">
      <c r="A8" s="0">
        <v>0.000123114441687485</v>
      </c>
      <c r="B8" s="0">
        <f>((RawData!B36-RawData!B37)*(RawData!B39+A8+RawData!B38-SQRT(POWER(RawData!B39+A8+RawData!B38,2)-(4*RawData!B39*A8)))/(2*RawData!B39))+RawData!B37</f>
      </c>
      <c r="C8" s="0">
        <f>RawData!B46 + ((RawData!B45 - RawData!B46) * (1 / (1 + (POWER(RawData!B48 / A8, RawData!B47)))))</f>
      </c>
    </row>
    <row r="9">
      <c r="A9" s="0">
        <v>0.000114869835876109</v>
      </c>
      <c r="B9" s="0">
        <f>((RawData!B36-RawData!B37)*(RawData!B39+A9+RawData!B38-SQRT(POWER(RawData!B39+A9+RawData!B38,2)-(4*RawData!B39*A9)))/(2*RawData!B39))+RawData!B37</f>
      </c>
      <c r="C9" s="0">
        <f>RawData!B46 + ((RawData!B45 - RawData!B46) * (1 / (1 + (POWER(RawData!B48 / A9, RawData!B47)))))</f>
      </c>
    </row>
    <row r="10">
      <c r="A10" s="0">
        <v>0.000107177346648728</v>
      </c>
      <c r="B10" s="0">
        <f>((RawData!B36-RawData!B37)*(RawData!B39+A10+RawData!B38-SQRT(POWER(RawData!B39+A10+RawData!B38,2)-(4*RawData!B39*A10)))/(2*RawData!B39))+RawData!B37</f>
      </c>
      <c r="C10" s="0">
        <f>RawData!B46 + ((RawData!B45 - RawData!B46) * (1 / (1 + (POWER(RawData!B48 / A10, RawData!B47)))))</f>
      </c>
    </row>
    <row r="11">
      <c r="A11" s="0">
        <v>0.0001000000004096</v>
      </c>
      <c r="B11" s="0">
        <f>((RawData!B36-RawData!B37)*(RawData!B39+A11+RawData!B38-SQRT(POWER(RawData!B39+A11+RawData!B38,2)-(4*RawData!B39*A11)))/(2*RawData!B39))+RawData!B37</f>
      </c>
      <c r="C11" s="0">
        <f>RawData!B46 + ((RawData!B45 - RawData!B46) * (1 / (1 + (POWER(RawData!B48 / A11, RawData!B47)))))</f>
      </c>
    </row>
    <row r="12">
      <c r="A12" s="0">
        <v>9.33032995740681e-05</v>
      </c>
      <c r="B12" s="0">
        <f>((RawData!B36-RawData!B37)*(RawData!B39+A12+RawData!B38-SQRT(POWER(RawData!B39+A12+RawData!B38,2)-(4*RawData!B39*A12)))/(2*RawData!B39))+RawData!B37</f>
      </c>
      <c r="C12" s="0">
        <f>RawData!B46 + ((RawData!B45 - RawData!B46) * (1 / (1 + (POWER(RawData!B48 / A12, RawData!B47)))))</f>
      </c>
    </row>
    <row r="13">
      <c r="A13" s="0">
        <v>8.70550567575054e-05</v>
      </c>
      <c r="B13" s="0">
        <f>((RawData!B36-RawData!B37)*(RawData!B39+A13+RawData!B38-SQRT(POWER(RawData!B39+A13+RawData!B38,2)-(4*RawData!B39*A13)))/(2*RawData!B39))+RawData!B37</f>
      </c>
      <c r="C13" s="0">
        <f>RawData!B46 + ((RawData!B45 - RawData!B46) * (1 / (1 + (POWER(RawData!B48 / A13, RawData!B47)))))</f>
      </c>
    </row>
    <row r="14">
      <c r="A14" s="0">
        <v>8.12252400681317e-05</v>
      </c>
      <c r="B14" s="0">
        <f>((RawData!B36-RawData!B37)*(RawData!B39+A14+RawData!B38-SQRT(POWER(RawData!B39+A14+RawData!B38,2)-(4*RawData!B39*A14)))/(2*RawData!B39))+RawData!B37</f>
      </c>
      <c r="C14" s="0">
        <f>RawData!B46 + ((RawData!B45 - RawData!B46) * (1 / (1 + (POWER(RawData!B48 / A14, RawData!B47)))))</f>
      </c>
    </row>
    <row r="15">
      <c r="A15" s="0">
        <v>7.57858287601061e-05</v>
      </c>
      <c r="B15" s="0">
        <f>((RawData!B36-RawData!B37)*(RawData!B39+A15+RawData!B38-SQRT(POWER(RawData!B39+A15+RawData!B38,2)-(4*RawData!B39*A15)))/(2*RawData!B39))+RawData!B37</f>
      </c>
      <c r="C15" s="0">
        <f>RawData!B46 + ((RawData!B45 - RawData!B46) * (1 / (1 + (POWER(RawData!B48 / A15, RawData!B47)))))</f>
      </c>
    </row>
    <row r="16">
      <c r="A16" s="0">
        <v>7.07106785531011e-05</v>
      </c>
      <c r="B16" s="0">
        <f>((RawData!B36-RawData!B37)*(RawData!B39+A16+RawData!B38-SQRT(POWER(RawData!B39+A16+RawData!B38,2)-(4*RawData!B39*A16)))/(2*RawData!B39))+RawData!B37</f>
      </c>
      <c r="C16" s="0">
        <f>RawData!B46 + ((RawData!B45 - RawData!B46) * (1 / (1 + (POWER(RawData!B48 / A16, RawData!B47)))))</f>
      </c>
    </row>
    <row r="17">
      <c r="A17" s="0">
        <v>6.5975395971021e-05</v>
      </c>
      <c r="B17" s="0">
        <f>((RawData!B36-RawData!B37)*(RawData!B39+A17+RawData!B38-SQRT(POWER(RawData!B39+A17+RawData!B38,2)-(4*RawData!B39*A17)))/(2*RawData!B39))+RawData!B37</f>
      </c>
      <c r="C17" s="0">
        <f>RawData!B46 + ((RawData!B45 - RawData!B46) * (1 / (1 + (POWER(RawData!B48 / A17, RawData!B47)))))</f>
      </c>
    </row>
    <row r="18">
      <c r="A18" s="0">
        <v>6.1557221095881e-05</v>
      </c>
      <c r="B18" s="0">
        <f>((RawData!B36-RawData!B37)*(RawData!B39+A18+RawData!B38-SQRT(POWER(RawData!B39+A18+RawData!B38,2)-(4*RawData!B39*A18)))/(2*RawData!B39))+RawData!B37</f>
      </c>
      <c r="C18" s="0">
        <f>RawData!B46 + ((RawData!B45 - RawData!B46) * (1 / (1 + (POWER(RawData!B48 / A18, RawData!B47)))))</f>
      </c>
    </row>
    <row r="19">
      <c r="A19" s="0">
        <v>5.74349181733079e-05</v>
      </c>
      <c r="B19" s="0">
        <f>((RawData!B36-RawData!B37)*(RawData!B39+A19+RawData!B38-SQRT(POWER(RawData!B39+A19+RawData!B38,2)-(4*RawData!B39*A19)))/(2*RawData!B39))+RawData!B37</f>
      </c>
      <c r="C19" s="0">
        <f>RawData!B46 + ((RawData!B45 - RawData!B46) * (1 / (1 + (POWER(RawData!B48 / A19, RawData!B47)))))</f>
      </c>
    </row>
    <row r="20">
      <c r="A20" s="0">
        <v>5.35886735438631e-05</v>
      </c>
      <c r="B20" s="0">
        <f>((RawData!B36-RawData!B37)*(RawData!B39+A20+RawData!B38-SQRT(POWER(RawData!B39+A20+RawData!B38,2)-(4*RawData!B39*A20)))/(2*RawData!B39))+RawData!B37</f>
      </c>
      <c r="C20" s="0">
        <f>RawData!B46 + ((RawData!B45 - RawData!B46) * (1 / (1 + (POWER(RawData!B48 / A20, RawData!B47)))))</f>
      </c>
    </row>
    <row r="21">
      <c r="A21" s="0">
        <v>5.00000004096e-05</v>
      </c>
      <c r="B21" s="0">
        <f>((RawData!B36-RawData!B37)*(RawData!B39+A21+RawData!B38-SQRT(POWER(RawData!B39+A21+RawData!B38,2)-(4*RawData!B39*A21)))/(2*RawData!B39))+RawData!B37</f>
      </c>
      <c r="C21" s="0">
        <f>RawData!B46 + ((RawData!B45 - RawData!B46) * (1 / (1 + (POWER(RawData!B48 / A21, RawData!B47)))))</f>
      </c>
    </row>
    <row r="22">
      <c r="A22" s="0">
        <v>4.66516499781192e-05</v>
      </c>
      <c r="B22" s="0">
        <f>((RawData!B36-RawData!B37)*(RawData!B39+A22+RawData!B38-SQRT(POWER(RawData!B39+A22+RawData!B38,2)-(4*RawData!B39*A22)))/(2*RawData!B39))+RawData!B37</f>
      </c>
      <c r="C22" s="0">
        <f>RawData!B46 + ((RawData!B45 - RawData!B46) * (1 / (1 + (POWER(RawData!B48 / A22, RawData!B47)))))</f>
      </c>
    </row>
    <row r="23">
      <c r="A23" s="0">
        <v>4.35275285570414e-05</v>
      </c>
      <c r="B23" s="0">
        <f>((RawData!B36-RawData!B37)*(RawData!B39+A23+RawData!B38-SQRT(POWER(RawData!B39+A23+RawData!B38,2)-(4*RawData!B39*A23)))/(2*RawData!B39))+RawData!B37</f>
      </c>
      <c r="C23" s="0">
        <f>RawData!B46 + ((RawData!B45 - RawData!B46) * (1 / (1 + (POWER(RawData!B48 / A23, RawData!B47)))))</f>
      </c>
    </row>
    <row r="24">
      <c r="A24" s="0">
        <v>4.06126202004151e-05</v>
      </c>
      <c r="B24" s="0">
        <f>((RawData!B36-RawData!B37)*(RawData!B39+A24+RawData!B38-SQRT(POWER(RawData!B39+A24+RawData!B38,2)-(4*RawData!B39*A24)))/(2*RawData!B39))+RawData!B37</f>
      </c>
      <c r="C24" s="0">
        <f>RawData!B46 + ((RawData!B45 - RawData!B46) * (1 / (1 + (POWER(RawData!B48 / A24, RawData!B47)))))</f>
      </c>
    </row>
    <row r="25">
      <c r="A25" s="0">
        <v>3.78929145352624e-05</v>
      </c>
      <c r="B25" s="0">
        <f>((RawData!B36-RawData!B37)*(RawData!B39+A25+RawData!B38-SQRT(POWER(RawData!B39+A25+RawData!B38,2)-(4*RawData!B39*A25)))/(2*RawData!B39))+RawData!B37</f>
      </c>
      <c r="C25" s="0">
        <f>RawData!B46 + ((RawData!B45 - RawData!B46) * (1 / (1 + (POWER(RawData!B48 / A25, RawData!B47)))))</f>
      </c>
    </row>
    <row r="26">
      <c r="A26" s="0">
        <v>3.5355339421366e-05</v>
      </c>
      <c r="B26" s="0">
        <f>((RawData!B36-RawData!B37)*(RawData!B39+A26+RawData!B38-SQRT(POWER(RawData!B39+A26+RawData!B38,2)-(4*RawData!B39*A26)))/(2*RawData!B39))+RawData!B37</f>
      </c>
      <c r="C26" s="0">
        <f>RawData!B46 + ((RawData!B45 - RawData!B46) * (1 / (1 + (POWER(RawData!B48 / A26, RawData!B47)))))</f>
      </c>
    </row>
    <row r="27">
      <c r="A27" s="0">
        <v>3.29876981206281e-05</v>
      </c>
      <c r="B27" s="0">
        <f>((RawData!B36-RawData!B37)*(RawData!B39+A27+RawData!B38-SQRT(POWER(RawData!B39+A27+RawData!B38,2)-(4*RawData!B39*A27)))/(2*RawData!B39))+RawData!B37</f>
      </c>
      <c r="C27" s="0">
        <f>RawData!B46 + ((RawData!B45 - RawData!B46) * (1 / (1 + (POWER(RawData!B48 / A27, RawData!B47)))))</f>
      </c>
    </row>
    <row r="28">
      <c r="A28" s="0">
        <v>3.07786106740097e-05</v>
      </c>
      <c r="B28" s="0">
        <f>((RawData!B36-RawData!B37)*(RawData!B39+A28+RawData!B38-SQRT(POWER(RawData!B39+A28+RawData!B38,2)-(4*RawData!B39*A28)))/(2*RawData!B39))+RawData!B37</f>
      </c>
      <c r="C28" s="0">
        <f>RawData!B46 + ((RawData!B45 - RawData!B46) * (1 / (1 + (POWER(RawData!B48 / A28, RawData!B47)))))</f>
      </c>
    </row>
    <row r="29">
      <c r="A29" s="0">
        <v>2.87174592042806e-05</v>
      </c>
      <c r="B29" s="0">
        <f>((RawData!B36-RawData!B37)*(RawData!B39+A29+RawData!B38-SQRT(POWER(RawData!B39+A29+RawData!B38,2)-(4*RawData!B39*A29)))/(2*RawData!B39))+RawData!B37</f>
      </c>
      <c r="C29" s="0">
        <f>RawData!B46 + ((RawData!B45 - RawData!B46) * (1 / (1 + (POWER(RawData!B48 / A29, RawData!B47)))))</f>
      </c>
    </row>
    <row r="30">
      <c r="A30" s="0">
        <v>2.67943368816812e-05</v>
      </c>
      <c r="B30" s="0">
        <f>((RawData!B36-RawData!B37)*(RawData!B39+A30+RawData!B38-SQRT(POWER(RawData!B39+A30+RawData!B38,2)-(4*RawData!B39*A30)))/(2*RawData!B39))+RawData!B37</f>
      </c>
      <c r="C30" s="0">
        <f>RawData!B46 + ((RawData!B45 - RawData!B46) * (1 / (1 + (POWER(RawData!B48 / A30, RawData!B47)))))</f>
      </c>
    </row>
    <row r="31">
      <c r="A31" s="0">
        <v>2.50000003072e-05</v>
      </c>
      <c r="B31" s="0">
        <f>((RawData!B36-RawData!B37)*(RawData!B39+A31+RawData!B38-SQRT(POWER(RawData!B39+A31+RawData!B38,2)-(4*RawData!B39*A31)))/(2*RawData!B39))+RawData!B37</f>
      </c>
      <c r="C31" s="0">
        <f>RawData!B46 + ((RawData!B45 - RawData!B46) * (1 / (1 + (POWER(RawData!B48 / A31, RawData!B47)))))</f>
      </c>
    </row>
    <row r="32">
      <c r="A32" s="0">
        <v>2.33258250846022e-05</v>
      </c>
      <c r="B32" s="0">
        <f>((RawData!B36-RawData!B37)*(RawData!B39+A32+RawData!B38-SQRT(POWER(RawData!B39+A32+RawData!B38,2)-(4*RawData!B39*A32)))/(2*RawData!B39))+RawData!B37</f>
      </c>
      <c r="C32" s="0">
        <f>RawData!B46 + ((RawData!B45 - RawData!B46) * (1 / (1 + (POWER(RawData!B48 / A32, RawData!B47)))))</f>
      </c>
    </row>
    <row r="33">
      <c r="A33" s="0">
        <v>2.17637643676651e-05</v>
      </c>
      <c r="B33" s="0">
        <f>((RawData!B36-RawData!B37)*(RawData!B39+A33+RawData!B38-SQRT(POWER(RawData!B39+A33+RawData!B38,2)-(4*RawData!B39*A33)))/(2*RawData!B39))+RawData!B37</f>
      </c>
      <c r="C33" s="0">
        <f>RawData!B46 + ((RawData!B45 - RawData!B46) * (1 / (1 + (POWER(RawData!B48 / A33, RawData!B47)))))</f>
      </c>
    </row>
    <row r="34">
      <c r="A34" s="0">
        <v>2.03063101833822e-05</v>
      </c>
      <c r="B34" s="0">
        <f>((RawData!B36-RawData!B37)*(RawData!B39+A34+RawData!B38-SQRT(POWER(RawData!B39+A34+RawData!B38,2)-(4*RawData!B39*A34)))/(2*RawData!B39))+RawData!B37</f>
      </c>
      <c r="C34" s="0">
        <f>RawData!B46 + ((RawData!B45 - RawData!B46) * (1 / (1 + (POWER(RawData!B48 / A34, RawData!B47)))))</f>
      </c>
    </row>
    <row r="35">
      <c r="A35" s="0">
        <v>1.89464573452359e-05</v>
      </c>
      <c r="B35" s="0">
        <f>((RawData!B36-RawData!B37)*(RawData!B39+A35+RawData!B38-SQRT(POWER(RawData!B39+A35+RawData!B38,2)-(4*RawData!B39*A35)))/(2*RawData!B39))+RawData!B37</f>
      </c>
      <c r="C35" s="0">
        <f>RawData!B46 + ((RawData!B45 - RawData!B46) * (1 / (1 + (POWER(RawData!B48 / A35, RawData!B47)))))</f>
      </c>
    </row>
    <row r="36">
      <c r="A36" s="0">
        <v>1.76776697830907e-05</v>
      </c>
      <c r="B36" s="0">
        <f>((RawData!B36-RawData!B37)*(RawData!B39+A36+RawData!B38-SQRT(POWER(RawData!B39+A36+RawData!B38,2)-(4*RawData!B39*A36)))/(2*RawData!B39))+RawData!B37</f>
      </c>
      <c r="C36" s="0">
        <f>RawData!B46 + ((RawData!B45 - RawData!B46) * (1 / (1 + (POWER(RawData!B48 / A36, RawData!B47)))))</f>
      </c>
    </row>
    <row r="37">
      <c r="A37" s="0">
        <v>1.64938491278729e-05</v>
      </c>
      <c r="B37" s="0">
        <f>((RawData!B36-RawData!B37)*(RawData!B39+A37+RawData!B38-SQRT(POWER(RawData!B39+A37+RawData!B38,2)-(4*RawData!B39*A37)))/(2*RawData!B39))+RawData!B37</f>
      </c>
      <c r="C37" s="0">
        <f>RawData!B46 + ((RawData!B45 - RawData!B46) * (1 / (1 + (POWER(RawData!B48 / A37, RawData!B47)))))</f>
      </c>
    </row>
    <row r="38">
      <c r="A38" s="0">
        <v>1.53893054000394e-05</v>
      </c>
      <c r="B38" s="0">
        <f>((RawData!B36-RawData!B37)*(RawData!B39+A38+RawData!B38-SQRT(POWER(RawData!B39+A38+RawData!B38,2)-(4*RawData!B39*A38)))/(2*RawData!B39))+RawData!B37</f>
      </c>
      <c r="C38" s="0">
        <f>RawData!B46 + ((RawData!B45 - RawData!B46) * (1 / (1 + (POWER(RawData!B48 / A38, RawData!B47)))))</f>
      </c>
    </row>
    <row r="39">
      <c r="A39" s="0">
        <v>1.43587296609537e-05</v>
      </c>
      <c r="B39" s="0">
        <f>((RawData!B36-RawData!B37)*(RawData!B39+A39+RawData!B38-SQRT(POWER(RawData!B39+A39+RawData!B38,2)-(4*RawData!B39*A39)))/(2*RawData!B39))+RawData!B37</f>
      </c>
      <c r="C39" s="0">
        <f>RawData!B46 + ((RawData!B45 - RawData!B46) * (1 / (1 + (POWER(RawData!B48 / A39, RawData!B47)))))</f>
      </c>
    </row>
    <row r="40">
      <c r="A40" s="0">
        <v>1.33971684957154e-05</v>
      </c>
      <c r="B40" s="0">
        <f>((RawData!B36-RawData!B37)*(RawData!B39+A40+RawData!B38-SQRT(POWER(RawData!B39+A40+RawData!B38,2)-(4*RawData!B39*A40)))/(2*RawData!B39))+RawData!B37</f>
      </c>
      <c r="C40" s="0">
        <f>RawData!B46 + ((RawData!B45 - RawData!B46) * (1 / (1 + (POWER(RawData!B48 / A40, RawData!B47)))))</f>
      </c>
    </row>
    <row r="41">
      <c r="A41" s="0">
        <v>1.25000002048e-05</v>
      </c>
      <c r="B41" s="0">
        <f>((RawData!B36-RawData!B37)*(RawData!B39+A41+RawData!B38-SQRT(POWER(RawData!B39+A41+RawData!B38,2)-(4*RawData!B39*A41)))/(2*RawData!B39))+RawData!B37</f>
      </c>
      <c r="C41" s="0">
        <f>RawData!B46 + ((RawData!B45 - RawData!B46) * (1 / (1 + (POWER(RawData!B48 / A41, RawData!B47)))))</f>
      </c>
    </row>
    <row r="42">
      <c r="A42" s="0">
        <v>1.16629125900724e-05</v>
      </c>
      <c r="B42" s="0">
        <f>((RawData!B36-RawData!B37)*(RawData!B39+A42+RawData!B38-SQRT(POWER(RawData!B39+A42+RawData!B38,2)-(4*RawData!B39*A42)))/(2*RawData!B39))+RawData!B37</f>
      </c>
      <c r="C42" s="0">
        <f>RawData!B46 + ((RawData!B45 - RawData!B46) * (1 / (1 + (POWER(RawData!B48 / A42, RawData!B47)))))</f>
      </c>
    </row>
    <row r="43">
      <c r="A43" s="0">
        <v>1.08818822284047e-05</v>
      </c>
      <c r="B43" s="0">
        <f>((RawData!B36-RawData!B37)*(RawData!B39+A43+RawData!B38-SQRT(POWER(RawData!B39+A43+RawData!B38,2)-(4*RawData!B39*A43)))/(2*RawData!B39))+RawData!B37</f>
      </c>
      <c r="C43" s="0">
        <f>RawData!B46 + ((RawData!B45 - RawData!B46) * (1 / (1 + (POWER(RawData!B48 / A43, RawData!B47)))))</f>
      </c>
    </row>
    <row r="44">
      <c r="A44" s="0">
        <v>1.01531551332784e-05</v>
      </c>
      <c r="B44" s="0">
        <f>((RawData!B36-RawData!B37)*(RawData!B39+A44+RawData!B38-SQRT(POWER(RawData!B39+A44+RawData!B38,2)-(4*RawData!B39*A44)))/(2*RawData!B39))+RawData!B37</f>
      </c>
      <c r="C44" s="0">
        <f>RawData!B46 + ((RawData!B45 - RawData!B46) * (1 / (1 + (POWER(RawData!B48 / A44, RawData!B47)))))</f>
      </c>
    </row>
    <row r="45">
      <c r="A45" s="0">
        <v>9.47322871142029e-06</v>
      </c>
      <c r="B45" s="0">
        <f>((RawData!B36-RawData!B37)*(RawData!B39+A45+RawData!B38-SQRT(POWER(RawData!B39+A45+RawData!B38,2)-(4*RawData!B39*A45)))/(2*RawData!B39))+RawData!B37</f>
      </c>
      <c r="C45" s="0">
        <f>RawData!B46 + ((RawData!B45 - RawData!B46) * (1 / (1 + (POWER(RawData!B48 / A45, RawData!B47)))))</f>
      </c>
    </row>
    <row r="46">
      <c r="A46" s="0">
        <v>8.83883492774924e-06</v>
      </c>
      <c r="B46" s="0">
        <f>((RawData!B36-RawData!B37)*(RawData!B39+A46+RawData!B38-SQRT(POWER(RawData!B39+A46+RawData!B38,2)-(4*RawData!B39*A46)))/(2*RawData!B39))+RawData!B37</f>
      </c>
      <c r="C46" s="0">
        <f>RawData!B46 + ((RawData!B45 - RawData!B46) * (1 / (1 + (POWER(RawData!B48 / A46, RawData!B47)))))</f>
      </c>
    </row>
    <row r="47">
      <c r="A47" s="0">
        <v>8.24692459771583e-06</v>
      </c>
      <c r="B47" s="0">
        <f>((RawData!B36-RawData!B37)*(RawData!B39+A47+RawData!B38-SQRT(POWER(RawData!B39+A47+RawData!B38,2)-(4*RawData!B39*A47)))/(2*RawData!B39))+RawData!B37</f>
      </c>
      <c r="C47" s="0">
        <f>RawData!B46 + ((RawData!B45 - RawData!B46) * (1 / (1 + (POWER(RawData!B48 / A47, RawData!B47)))))</f>
      </c>
    </row>
    <row r="48">
      <c r="A48" s="0">
        <v>7.69465273153701e-06</v>
      </c>
      <c r="B48" s="0">
        <f>((RawData!B36-RawData!B37)*(RawData!B39+A48+RawData!B38-SQRT(POWER(RawData!B39+A48+RawData!B38,2)-(4*RawData!B39*A48)))/(2*RawData!B39))+RawData!B37</f>
      </c>
      <c r="C48" s="0">
        <f>RawData!B46 + ((RawData!B45 - RawData!B46) * (1 / (1 + (POWER(RawData!B48 / A48, RawData!B47)))))</f>
      </c>
    </row>
    <row r="49">
      <c r="A49" s="0">
        <v>7.17936485988352e-06</v>
      </c>
      <c r="B49" s="0">
        <f>((RawData!B36-RawData!B37)*(RawData!B39+A49+RawData!B38-SQRT(POWER(RawData!B39+A49+RawData!B38,2)-(4*RawData!B39*A49)))/(2*RawData!B39))+RawData!B37</f>
      </c>
      <c r="C49" s="0">
        <f>RawData!B46 + ((RawData!B45 - RawData!B46) * (1 / (1 + (POWER(RawData!B48 / A49, RawData!B47)))))</f>
      </c>
    </row>
    <row r="50">
      <c r="A50" s="0">
        <v>6.69858427529509e-06</v>
      </c>
      <c r="B50" s="0">
        <f>((RawData!B36-RawData!B37)*(RawData!B39+A50+RawData!B38-SQRT(POWER(RawData!B39+A50+RawData!B38,2)-(4*RawData!B39*A50)))/(2*RawData!B39))+RawData!B37</f>
      </c>
      <c r="C50" s="0">
        <f>RawData!B46 + ((RawData!B45 - RawData!B46) * (1 / (1 + (POWER(RawData!B48 / A50, RawData!B47)))))</f>
      </c>
    </row>
    <row r="51">
      <c r="A51" s="0">
        <v>6.25000012799999e-06</v>
      </c>
      <c r="B51" s="0">
        <f>((RawData!B36-RawData!B37)*(RawData!B39+A51+RawData!B38-SQRT(POWER(RawData!B39+A51+RawData!B38,2)-(4*RawData!B39*A51)))/(2*RawData!B39))+RawData!B37</f>
      </c>
      <c r="C51" s="0">
        <f>RawData!B46 + ((RawData!B45 - RawData!B46) * (1 / (1 + (POWER(RawData!B48 / A51, RawData!B47)))))</f>
      </c>
    </row>
    <row r="52">
      <c r="A52" s="0">
        <v>5.83145631892183e-06</v>
      </c>
      <c r="B52" s="0">
        <f>((RawData!B36-RawData!B37)*(RawData!B39+A52+RawData!B38-SQRT(POWER(RawData!B39+A52+RawData!B38,2)-(4*RawData!B39*A52)))/(2*RawData!B39))+RawData!B37</f>
      </c>
      <c r="C52" s="0">
        <f>RawData!B46 + ((RawData!B45 - RawData!B46) * (1 / (1 + (POWER(RawData!B48 / A52, RawData!B47)))))</f>
      </c>
    </row>
    <row r="53">
      <c r="A53" s="0">
        <v>5.44094113648846e-06</v>
      </c>
      <c r="B53" s="0">
        <f>((RawData!B36-RawData!B37)*(RawData!B39+A53+RawData!B38-SQRT(POWER(RawData!B39+A53+RawData!B38,2)-(4*RawData!B39*A53)))/(2*RawData!B39))+RawData!B37</f>
      </c>
      <c r="C53" s="0">
        <f>RawData!B46 + ((RawData!B45 - RawData!B46) * (1 / (1 + (POWER(RawData!B48 / A53, RawData!B47)))))</f>
      </c>
    </row>
    <row r="54">
      <c r="A54" s="0">
        <v>5.07657758743287e-06</v>
      </c>
      <c r="B54" s="0">
        <f>((RawData!B36-RawData!B37)*(RawData!B39+A54+RawData!B38-SQRT(POWER(RawData!B39+A54+RawData!B38,2)-(4*RawData!B39*A54)))/(2*RawData!B39))+RawData!B37</f>
      </c>
      <c r="C54" s="0">
        <f>RawData!B46 + ((RawData!B45 - RawData!B46) * (1 / (1 + (POWER(RawData!B48 / A54, RawData!B47)))))</f>
      </c>
    </row>
    <row r="55">
      <c r="A55" s="0">
        <v>4.73661437511132e-06</v>
      </c>
      <c r="B55" s="0">
        <f>((RawData!B36-RawData!B37)*(RawData!B39+A55+RawData!B38-SQRT(POWER(RawData!B39+A55+RawData!B38,2)-(4*RawData!B39*A55)))/(2*RawData!B39))+RawData!B37</f>
      </c>
      <c r="C55" s="0">
        <f>RawData!B46 + ((RawData!B45 - RawData!B46) * (1 / (1 + (POWER(RawData!B48 / A55, RawData!B47)))))</f>
      </c>
    </row>
    <row r="56">
      <c r="A56" s="0">
        <v>4.41941748197655e-06</v>
      </c>
      <c r="B56" s="0">
        <f>((RawData!B36-RawData!B37)*(RawData!B39+A56+RawData!B38-SQRT(POWER(RawData!B39+A56+RawData!B38,2)-(4*RawData!B39*A56)))/(2*RawData!B39))+RawData!B37</f>
      </c>
      <c r="C56" s="0">
        <f>RawData!B46 + ((RawData!B45 - RawData!B46) * (1 / (1 + (POWER(RawData!B48 / A56, RawData!B47)))))</f>
      </c>
    </row>
    <row r="57">
      <c r="A57" s="0">
        <v>4.12346231574762e-06</v>
      </c>
      <c r="B57" s="0">
        <f>((RawData!B36-RawData!B37)*(RawData!B39+A57+RawData!B38-SQRT(POWER(RawData!B39+A57+RawData!B38,2)-(4*RawData!B39*A57)))/(2*RawData!B39))+RawData!B37</f>
      </c>
      <c r="C57" s="0">
        <f>RawData!B46 + ((RawData!B45 - RawData!B46) * (1 / (1 + (POWER(RawData!B48 / A57, RawData!B47)))))</f>
      </c>
    </row>
    <row r="58">
      <c r="A58" s="0">
        <v>3.84732638152716e-06</v>
      </c>
      <c r="B58" s="0">
        <f>((RawData!B36-RawData!B37)*(RawData!B39+A58+RawData!B38-SQRT(POWER(RawData!B39+A58+RawData!B38,2)-(4*RawData!B39*A58)))/(2*RawData!B39))+RawData!B37</f>
      </c>
      <c r="C58" s="0">
        <f>RawData!B46 + ((RawData!B45 - RawData!B46) * (1 / (1 + (POWER(RawData!B48 / A58, RawData!B47)))))</f>
      </c>
    </row>
    <row r="59">
      <c r="A59" s="0">
        <v>3.5896824446451e-06</v>
      </c>
      <c r="B59" s="0">
        <f>((RawData!B36-RawData!B37)*(RawData!B39+A59+RawData!B38-SQRT(POWER(RawData!B39+A59+RawData!B38,2)-(4*RawData!B39*A59)))/(2*RawData!B39))+RawData!B37</f>
      </c>
      <c r="C59" s="0">
        <f>RawData!B46 + ((RawData!B45 - RawData!B46) * (1 / (1 + (POWER(RawData!B48 / A59, RawData!B47)))))</f>
      </c>
    </row>
    <row r="60">
      <c r="A60" s="0">
        <v>3.34929215136624e-06</v>
      </c>
      <c r="B60" s="0">
        <f>((RawData!B36-RawData!B37)*(RawData!B39+A60+RawData!B38-SQRT(POWER(RawData!B39+A60+RawData!B38,2)-(4*RawData!B39*A60)))/(2*RawData!B39))+RawData!B37</f>
      </c>
      <c r="C60" s="0">
        <f>RawData!B46 + ((RawData!B45 - RawData!B46) * (1 / (1 + (POWER(RawData!B48 / A60, RawData!B47)))))</f>
      </c>
    </row>
    <row r="61">
      <c r="A61" s="0">
        <v>3.1250000768e-06</v>
      </c>
      <c r="B61" s="0">
        <f>((RawData!B36-RawData!B37)*(RawData!B39+A61+RawData!B38-SQRT(POWER(RawData!B39+A61+RawData!B38,2)-(4*RawData!B39*A61)))/(2*RawData!B39))+RawData!B37</f>
      </c>
      <c r="C61" s="0">
        <f>RawData!B46 + ((RawData!B45 - RawData!B46) * (1 / (1 + (POWER(RawData!B48 / A61, RawData!B47)))))</f>
      </c>
    </row>
    <row r="62">
      <c r="A62" s="0">
        <v>2.91572817140374e-06</v>
      </c>
      <c r="B62" s="0">
        <f>((RawData!B36-RawData!B37)*(RawData!B39+A62+RawData!B38-SQRT(POWER(RawData!B39+A62+RawData!B38,2)-(4*RawData!B39*A62)))/(2*RawData!B39))+RawData!B37</f>
      </c>
      <c r="C62" s="0">
        <f>RawData!B46 + ((RawData!B45 - RawData!B46) * (1 / (1 + (POWER(RawData!B48 / A62, RawData!B47)))))</f>
      </c>
    </row>
    <row r="63">
      <c r="A63" s="0">
        <v>2.72047057938728e-06</v>
      </c>
      <c r="B63" s="0">
        <f>((RawData!B36-RawData!B37)*(RawData!B39+A63+RawData!B38-SQRT(POWER(RawData!B39+A63+RawData!B38,2)-(4*RawData!B39*A63)))/(2*RawData!B39))+RawData!B37</f>
      </c>
      <c r="C63" s="0">
        <f>RawData!B46 + ((RawData!B45 - RawData!B46) * (1 / (1 + (POWER(RawData!B48 / A63, RawData!B47)))))</f>
      </c>
    </row>
    <row r="64">
      <c r="A64" s="0">
        <v>2.53828880411327e-06</v>
      </c>
      <c r="B64" s="0">
        <f>((RawData!B36-RawData!B37)*(RawData!B39+A64+RawData!B38-SQRT(POWER(RawData!B39+A64+RawData!B38,2)-(4*RawData!B39*A64)))/(2*RawData!B39))+RawData!B37</f>
      </c>
      <c r="C64" s="0">
        <f>RawData!B46 + ((RawData!B45 - RawData!B46) * (1 / (1 + (POWER(RawData!B48 / A64, RawData!B47)))))</f>
      </c>
    </row>
    <row r="65">
      <c r="A65" s="0">
        <v>2.36830719725624e-06</v>
      </c>
      <c r="B65" s="0">
        <f>((RawData!B36-RawData!B37)*(RawData!B39+A65+RawData!B38-SQRT(POWER(RawData!B39+A65+RawData!B38,2)-(4*RawData!B39*A65)))/(2*RawData!B39))+RawData!B37</f>
      </c>
      <c r="C65" s="0">
        <f>RawData!B46 + ((RawData!B45 - RawData!B46) * (1 / (1 + (POWER(RawData!B48 / A65, RawData!B47)))))</f>
      </c>
    </row>
    <row r="66">
      <c r="A66" s="0">
        <v>2.20970875003924e-06</v>
      </c>
      <c r="B66" s="0">
        <f>((RawData!B36-RawData!B37)*(RawData!B39+A66+RawData!B38-SQRT(POWER(RawData!B39+A66+RawData!B38,2)-(4*RawData!B39*A66)))/(2*RawData!B39))+RawData!B37</f>
      </c>
      <c r="C66" s="0">
        <f>RawData!B46 + ((RawData!B45 - RawData!B46) * (1 / (1 + (POWER(RawData!B48 / A66, RawData!B47)))))</f>
      </c>
    </row>
    <row r="67">
      <c r="A67" s="0">
        <v>2.06173116631866e-06</v>
      </c>
      <c r="B67" s="0">
        <f>((RawData!B36-RawData!B37)*(RawData!B39+A67+RawData!B38-SQRT(POWER(RawData!B39+A67+RawData!B38,2)-(4*RawData!B39*A67)))/(2*RawData!B39))+RawData!B37</f>
      </c>
      <c r="C67" s="0">
        <f>RawData!B46 + ((RawData!B45 - RawData!B46) * (1 / (1 + (POWER(RawData!B48 / A67, RawData!B47)))))</f>
      </c>
    </row>
    <row r="68">
      <c r="A68" s="0">
        <v>1.9236631986429e-06</v>
      </c>
      <c r="B68" s="0">
        <f>((RawData!B36-RawData!B37)*(RawData!B39+A68+RawData!B38-SQRT(POWER(RawData!B39+A68+RawData!B38,2)-(4*RawData!B39*A68)))/(2*RawData!B39))+RawData!B37</f>
      </c>
      <c r="C68" s="0">
        <f>RawData!B46 + ((RawData!B45 - RawData!B46) * (1 / (1 + (POWER(RawData!B48 / A68, RawData!B47)))))</f>
      </c>
    </row>
    <row r="69">
      <c r="A69" s="0">
        <v>1.79484122967422e-06</v>
      </c>
      <c r="B69" s="0">
        <f>((RawData!B36-RawData!B37)*(RawData!B39+A69+RawData!B38-SQRT(POWER(RawData!B39+A69+RawData!B38,2)-(4*RawData!B39*A69)))/(2*RawData!B39))+RawData!B37</f>
      </c>
      <c r="C69" s="0">
        <f>RawData!B46 + ((RawData!B45 - RawData!B46) * (1 / (1 + (POWER(RawData!B48 / A69, RawData!B47)))))</f>
      </c>
    </row>
    <row r="70">
      <c r="A70" s="0">
        <v>1.67464608254247e-06</v>
      </c>
      <c r="B70" s="0">
        <f>((RawData!B36-RawData!B37)*(RawData!B39+A70+RawData!B38-SQRT(POWER(RawData!B39+A70+RawData!B38,2)-(4*RawData!B39*A70)))/(2*RawData!B39))+RawData!B37</f>
      </c>
      <c r="C70" s="0">
        <f>RawData!B46 + ((RawData!B45 - RawData!B46) * (1 / (1 + (POWER(RawData!B48 / A70, RawData!B47)))))</f>
      </c>
    </row>
    <row r="71">
      <c r="A71" s="0">
        <v>1.5625000448e-06</v>
      </c>
      <c r="B71" s="0">
        <f>((RawData!B36-RawData!B37)*(RawData!B39+A71+RawData!B38-SQRT(POWER(RawData!B39+A71+RawData!B38,2)-(4*RawData!B39*A71)))/(2*RawData!B39))+RawData!B37</f>
      </c>
      <c r="C71" s="0">
        <f>RawData!B46 + ((RawData!B45 - RawData!B46) * (1 / (1 + (POWER(RawData!B48 / A71, RawData!B47)))))</f>
      </c>
    </row>
    <row r="72">
      <c r="A72" s="0">
        <v>1.45786409167328e-06</v>
      </c>
      <c r="B72" s="0">
        <f>((RawData!B36-RawData!B37)*(RawData!B39+A72+RawData!B38-SQRT(POWER(RawData!B39+A72+RawData!B38,2)-(4*RawData!B39*A72)))/(2*RawData!B39))+RawData!B37</f>
      </c>
      <c r="C72" s="0">
        <f>RawData!B46 + ((RawData!B45 - RawData!B46) * (1 / (1 + (POWER(RawData!B48 / A72, RawData!B47)))))</f>
      </c>
    </row>
    <row r="73">
      <c r="A73" s="0">
        <v>1.36023529526516e-06</v>
      </c>
      <c r="B73" s="0">
        <f>((RawData!B36-RawData!B37)*(RawData!B39+A73+RawData!B38-SQRT(POWER(RawData!B39+A73+RawData!B38,2)-(4*RawData!B39*A73)))/(2*RawData!B39))+RawData!B37</f>
      </c>
      <c r="C73" s="0">
        <f>RawData!B46 + ((RawData!B45 - RawData!B46) * (1 / (1 + (POWER(RawData!B48 / A73, RawData!B47)))))</f>
      </c>
    </row>
    <row r="74">
      <c r="A74" s="0">
        <v>1.26914440725505e-06</v>
      </c>
      <c r="B74" s="0">
        <f>((RawData!B36-RawData!B37)*(RawData!B39+A74+RawData!B38-SQRT(POWER(RawData!B39+A74+RawData!B38,2)-(4*RawData!B39*A74)))/(2*RawData!B39))+RawData!B37</f>
      </c>
      <c r="C74" s="0">
        <f>RawData!B46 + ((RawData!B45 - RawData!B46) * (1 / (1 + (POWER(RawData!B48 / A74, RawData!B47)))))</f>
      </c>
    </row>
    <row r="75">
      <c r="A75" s="0">
        <v>1.18415360347842e-06</v>
      </c>
      <c r="B75" s="0">
        <f>((RawData!B36-RawData!B37)*(RawData!B39+A75+RawData!B38-SQRT(POWER(RawData!B39+A75+RawData!B38,2)-(4*RawData!B39*A75)))/(2*RawData!B39))+RawData!B37</f>
      </c>
      <c r="C75" s="0">
        <f>RawData!B46 + ((RawData!B45 - RawData!B46) * (1 / (1 + (POWER(RawData!B48 / A75, RawData!B47)))))</f>
      </c>
    </row>
    <row r="76">
      <c r="A76" s="0">
        <v>1.1048543795451e-06</v>
      </c>
      <c r="B76" s="0">
        <f>((RawData!B36-RawData!B37)*(RawData!B39+A76+RawData!B38-SQRT(POWER(RawData!B39+A76+RawData!B38,2)-(4*RawData!B39*A76)))/(2*RawData!B39))+RawData!B37</f>
      </c>
      <c r="C76" s="0">
        <f>RawData!B46 + ((RawData!B45 - RawData!B46) * (1 / (1 + (POWER(RawData!B48 / A76, RawData!B47)))))</f>
      </c>
    </row>
    <row r="77">
      <c r="A77" s="0">
        <v>1.03086558738175e-06</v>
      </c>
      <c r="B77" s="0">
        <f>((RawData!B36-RawData!B37)*(RawData!B39+A77+RawData!B38-SQRT(POWER(RawData!B39+A77+RawData!B38,2)-(4*RawData!B39*A77)))/(2*RawData!B39))+RawData!B37</f>
      </c>
      <c r="C77" s="0">
        <f>RawData!B46 + ((RawData!B45 - RawData!B46) * (1 / (1 + (POWER(RawData!B48 / A77, RawData!B47)))))</f>
      </c>
    </row>
    <row r="78">
      <c r="A78" s="0">
        <v>9.61831603261113e-07</v>
      </c>
      <c r="B78" s="0">
        <f>((RawData!B36-RawData!B37)*(RawData!B39+A78+RawData!B38-SQRT(POWER(RawData!B39+A78+RawData!B38,2)-(4*RawData!B39*A78)))/(2*RawData!B39))+RawData!B37</f>
      </c>
      <c r="C78" s="0">
        <f>RawData!B46 + ((RawData!B45 - RawData!B46) * (1 / (1 + (POWER(RawData!B48 / A78, RawData!B47)))))</f>
      </c>
    </row>
    <row r="79">
      <c r="A79" s="0">
        <v>8.97420618512943e-07</v>
      </c>
      <c r="B79" s="0">
        <f>((RawData!B36-RawData!B37)*(RawData!B39+A79+RawData!B38-SQRT(POWER(RawData!B39+A79+RawData!B38,2)-(4*RawData!B39*A79)))/(2*RawData!B39))+RawData!B37</f>
      </c>
      <c r="C79" s="0">
        <f>RawData!B46 + ((RawData!B45 - RawData!B46) * (1 / (1 + (POWER(RawData!B48 / A79, RawData!B47)))))</f>
      </c>
    </row>
    <row r="80">
      <c r="A80" s="0">
        <v>8.37323044700911e-07</v>
      </c>
      <c r="B80" s="0">
        <f>((RawData!B36-RawData!B37)*(RawData!B39+A80+RawData!B38-SQRT(POWER(RawData!B39+A80+RawData!B38,2)-(4*RawData!B39*A80)))/(2*RawData!B39))+RawData!B37</f>
      </c>
      <c r="C80" s="0">
        <f>RawData!B46 + ((RawData!B45 - RawData!B46) * (1 / (1 + (POWER(RawData!B48 / A80, RawData!B47)))))</f>
      </c>
    </row>
    <row r="81">
      <c r="A81" s="0">
        <v>7.81250025599999e-07</v>
      </c>
      <c r="B81" s="0">
        <f>((RawData!B36-RawData!B37)*(RawData!B39+A81+RawData!B38-SQRT(POWER(RawData!B39+A81+RawData!B38,2)-(4*RawData!B39*A81)))/(2*RawData!B39))+RawData!B37</f>
      </c>
      <c r="C81" s="0">
        <f>RawData!B46 + ((RawData!B45 - RawData!B46) * (1 / (1 + (POWER(RawData!B48 / A81, RawData!B47)))))</f>
      </c>
    </row>
    <row r="82">
      <c r="A82" s="0">
        <v>7.28932048822345e-07</v>
      </c>
      <c r="B82" s="0">
        <f>((RawData!B36-RawData!B37)*(RawData!B39+A82+RawData!B38-SQRT(POWER(RawData!B39+A82+RawData!B38,2)-(4*RawData!B39*A82)))/(2*RawData!B39))+RawData!B37</f>
      </c>
      <c r="C82" s="0">
        <f>RawData!B46 + ((RawData!B45 - RawData!B46) * (1 / (1 + (POWER(RawData!B48 / A82, RawData!B47)))))</f>
      </c>
    </row>
    <row r="83">
      <c r="A83" s="0">
        <v>6.80117650418343e-07</v>
      </c>
      <c r="B83" s="0">
        <f>((RawData!B36-RawData!B37)*(RawData!B39+A83+RawData!B38-SQRT(POWER(RawData!B39+A83+RawData!B38,2)-(4*RawData!B39*A83)))/(2*RawData!B39))+RawData!B37</f>
      </c>
      <c r="C83" s="0">
        <f>RawData!B46 + ((RawData!B45 - RawData!B46) * (1 / (1 + (POWER(RawData!B48 / A83, RawData!B47)))))</f>
      </c>
    </row>
    <row r="84">
      <c r="A84" s="0">
        <v>6.34572206226732e-07</v>
      </c>
      <c r="B84" s="0">
        <f>((RawData!B36-RawData!B37)*(RawData!B39+A84+RawData!B38-SQRT(POWER(RawData!B39+A84+RawData!B38,2)-(4*RawData!B39*A84)))/(2*RawData!B39))+RawData!B37</f>
      </c>
      <c r="C84" s="0">
        <f>RawData!B46 + ((RawData!B45 - RawData!B46) * (1 / (1 + (POWER(RawData!B48 / A84, RawData!B47)))))</f>
      </c>
    </row>
    <row r="85">
      <c r="A85" s="0">
        <v>5.92076804164354e-07</v>
      </c>
      <c r="B85" s="0">
        <f>((RawData!B36-RawData!B37)*(RawData!B39+A85+RawData!B38-SQRT(POWER(RawData!B39+A85+RawData!B38,2)-(4*RawData!B39*A85)))/(2*RawData!B39))+RawData!B37</f>
      </c>
      <c r="C85" s="0">
        <f>RawData!B46 + ((RawData!B45 - RawData!B46) * (1 / (1 + (POWER(RawData!B48 / A85, RawData!B47)))))</f>
      </c>
    </row>
    <row r="86">
      <c r="A86" s="0">
        <v>5.52427192035294e-07</v>
      </c>
      <c r="B86" s="0">
        <f>((RawData!B36-RawData!B37)*(RawData!B39+A86+RawData!B38-SQRT(POWER(RawData!B39+A86+RawData!B38,2)-(4*RawData!B39*A86)))/(2*RawData!B39))+RawData!B37</f>
      </c>
      <c r="C86" s="0">
        <f>RawData!B46 + ((RawData!B45 - RawData!B46) * (1 / (1 + (POWER(RawData!B48 / A86, RawData!B47)))))</f>
      </c>
    </row>
    <row r="87">
      <c r="A87" s="0">
        <v>5.1543279580209e-07</v>
      </c>
      <c r="B87" s="0">
        <f>((RawData!B36-RawData!B37)*(RawData!B39+A87+RawData!B38-SQRT(POWER(RawData!B39+A87+RawData!B38,2)-(4*RawData!B39*A87)))/(2*RawData!B39))+RawData!B37</f>
      </c>
      <c r="C87" s="0">
        <f>RawData!B46 + ((RawData!B45 - RawData!B46) * (1 / (1 + (POWER(RawData!B48 / A87, RawData!B47)))))</f>
      </c>
    </row>
    <row r="88">
      <c r="A88" s="0">
        <v>4.80915803600387e-07</v>
      </c>
      <c r="B88" s="0">
        <f>((RawData!B36-RawData!B37)*(RawData!B39+A88+RawData!B38-SQRT(POWER(RawData!B39+A88+RawData!B38,2)-(4*RawData!B39*A88)))/(2*RawData!B39))+RawData!B37</f>
      </c>
      <c r="C88" s="0">
        <f>RawData!B46 + ((RawData!B45 - RawData!B46) * (1 / (1 + (POWER(RawData!B48 / A88, RawData!B47)))))</f>
      </c>
    </row>
    <row r="89">
      <c r="A89" s="0">
        <v>4.48710311094389e-07</v>
      </c>
      <c r="B89" s="0">
        <f>((RawData!B36-RawData!B37)*(RawData!B39+A89+RawData!B38-SQRT(POWER(RawData!B39+A89+RawData!B38,2)-(4*RawData!B39*A89)))/(2*RawData!B39))+RawData!B37</f>
      </c>
      <c r="C89" s="0">
        <f>RawData!B46 + ((RawData!B45 - RawData!B46) * (1 / (1 + (POWER(RawData!B48 / A89, RawData!B47)))))</f>
      </c>
    </row>
    <row r="90">
      <c r="A90" s="0">
        <v>4.18661524065293e-07</v>
      </c>
      <c r="B90" s="0">
        <f>((RawData!B36-RawData!B37)*(RawData!B39+A90+RawData!B38-SQRT(POWER(RawData!B39+A90+RawData!B38,2)-(4*RawData!B39*A90)))/(2*RawData!B39))+RawData!B37</f>
      </c>
      <c r="C90" s="0">
        <f>RawData!B46 + ((RawData!B45 - RawData!B46) * (1 / (1 + (POWER(RawData!B48 / A90, RawData!B47)))))</f>
      </c>
    </row>
    <row r="91">
      <c r="A91" s="0">
        <v>3.90625014399999e-07</v>
      </c>
      <c r="B91" s="0">
        <f>((RawData!B36-RawData!B37)*(RawData!B39+A91+RawData!B38-SQRT(POWER(RawData!B39+A91+RawData!B38,2)-(4*RawData!B39*A91)))/(2*RawData!B39))+RawData!B37</f>
      </c>
      <c r="C91" s="0">
        <f>RawData!B46 + ((RawData!B45 - RawData!B46) * (1 / (1 + (POWER(RawData!B48 / A91, RawData!B47)))))</f>
      </c>
    </row>
    <row r="92">
      <c r="A92" s="0">
        <v>3.64466025904025e-07</v>
      </c>
      <c r="B92" s="0">
        <f>((RawData!B36-RawData!B37)*(RawData!B39+A92+RawData!B38-SQRT(POWER(RawData!B39+A92+RawData!B38,2)-(4*RawData!B39*A92)))/(2*RawData!B39))+RawData!B37</f>
      </c>
      <c r="C92" s="0">
        <f>RawData!B46 + ((RawData!B45 - RawData!B46) * (1 / (1 + (POWER(RawData!B48 / A92, RawData!B47)))))</f>
      </c>
    </row>
    <row r="93">
      <c r="A93" s="0">
        <v>3.40058826602052e-07</v>
      </c>
      <c r="B93" s="0">
        <f>((RawData!B36-RawData!B37)*(RawData!B39+A93+RawData!B38-SQRT(POWER(RawData!B39+A93+RawData!B38,2)-(4*RawData!B39*A93)))/(2*RawData!B39))+RawData!B37</f>
      </c>
      <c r="C93" s="0">
        <f>RawData!B46 + ((RawData!B45 - RawData!B46) * (1 / (1 + (POWER(RawData!B48 / A93, RawData!B47)))))</f>
      </c>
    </row>
    <row r="94">
      <c r="A94" s="0">
        <v>3.1728610441297e-07</v>
      </c>
      <c r="B94" s="0">
        <f>((RawData!B36-RawData!B37)*(RawData!B39+A94+RawData!B38-SQRT(POWER(RawData!B39+A94+RawData!B38,2)-(4*RawData!B39*A94)))/(2*RawData!B39))+RawData!B37</f>
      </c>
      <c r="C94" s="0">
        <f>RawData!B46 + ((RawData!B45 - RawData!B46) * (1 / (1 + (POWER(RawData!B48 / A94, RawData!B47)))))</f>
      </c>
    </row>
    <row r="95">
      <c r="A95" s="0">
        <v>2.9603840329475e-07</v>
      </c>
      <c r="B95" s="0">
        <f>((RawData!B36-RawData!B37)*(RawData!B39+A95+RawData!B38-SQRT(POWER(RawData!B39+A95+RawData!B38,2)-(4*RawData!B39*A95)))/(2*RawData!B39))+RawData!B37</f>
      </c>
      <c r="C95" s="0">
        <f>RawData!B46 + ((RawData!B45 - RawData!B46) * (1 / (1 + (POWER(RawData!B48 / A95, RawData!B47)))))</f>
      </c>
    </row>
    <row r="96">
      <c r="A96" s="0">
        <v>2.76213597149018e-07</v>
      </c>
      <c r="B96" s="0">
        <f>((RawData!B36-RawData!B37)*(RawData!B39+A96+RawData!B38-SQRT(POWER(RawData!B39+A96+RawData!B38,2)-(4*RawData!B39*A96)))/(2*RawData!B39))+RawData!B37</f>
      </c>
      <c r="C96" s="0">
        <f>RawData!B46 + ((RawData!B45 - RawData!B46) * (1 / (1 + (POWER(RawData!B48 / A96, RawData!B47)))))</f>
      </c>
    </row>
    <row r="97">
      <c r="A97" s="0">
        <v>2.57716398956651e-07</v>
      </c>
      <c r="B97" s="0">
        <f>((RawData!B36-RawData!B37)*(RawData!B39+A97+RawData!B38-SQRT(POWER(RawData!B39+A97+RawData!B38,2)-(4*RawData!B39*A97)))/(2*RawData!B39))+RawData!B37</f>
      </c>
      <c r="C97" s="0">
        <f>RawData!B46 + ((RawData!B45 - RawData!B46) * (1 / (1 + (POWER(RawData!B48 / A97, RawData!B47)))))</f>
      </c>
    </row>
    <row r="98">
      <c r="A98" s="0">
        <v>2.40457902785109e-07</v>
      </c>
      <c r="B98" s="0">
        <f>((RawData!B36-RawData!B37)*(RawData!B39+A98+RawData!B38-SQRT(POWER(RawData!B39+A98+RawData!B38,2)-(4*RawData!B39*A98)))/(2*RawData!B39))+RawData!B37</f>
      </c>
      <c r="C98" s="0">
        <f>RawData!B46 + ((RawData!B45 - RawData!B46) * (1 / (1 + (POWER(RawData!B48 / A98, RawData!B47)))))</f>
      </c>
    </row>
    <row r="99">
      <c r="A99" s="0">
        <v>2.24355156466153e-07</v>
      </c>
      <c r="B99" s="0">
        <f>((RawData!B36-RawData!B37)*(RawData!B39+A99+RawData!B38-SQRT(POWER(RawData!B39+A99+RawData!B38,2)-(4*RawData!B39*A99)))/(2*RawData!B39))+RawData!B37</f>
      </c>
      <c r="C99" s="0">
        <f>RawData!B46 + ((RawData!B45 - RawData!B46) * (1 / (1 + (POWER(RawData!B48 / A99, RawData!B47)))))</f>
      </c>
    </row>
    <row r="100">
      <c r="A100" s="0">
        <v>2.09330762890065e-07</v>
      </c>
      <c r="B100" s="0">
        <f>((RawData!B36-RawData!B37)*(RawData!B39+A100+RawData!B38-SQRT(POWER(RawData!B39+A100+RawData!B38,2)-(4*RawData!B39*A100)))/(2*RawData!B39))+RawData!B37</f>
      </c>
      <c r="C100" s="0">
        <f>RawData!B46 + ((RawData!B45 - RawData!B46) * (1 / (1 + (POWER(RawData!B48 / A100, RawData!B47)))))</f>
      </c>
    </row>
    <row r="101">
      <c r="A101" s="0">
        <v>1.95312508e-07</v>
      </c>
      <c r="B101" s="0">
        <f>((RawData!B36-RawData!B37)*(RawData!B39+A101+RawData!B38-SQRT(POWER(RawData!B39+A101+RawData!B38,2)-(4*RawData!B39*A101)))/(2*RawData!B39))+RawData!B37</f>
      </c>
      <c r="C101" s="0">
        <f>RawData!B46 + ((RawData!B45 - RawData!B46) * (1 / (1 + (POWER(RawData!B48 / A101, RawData!B47)))))</f>
      </c>
    </row>
    <row r="102">
      <c r="A102" s="0">
        <v>1.82233013698439e-07</v>
      </c>
      <c r="B102" s="0">
        <f>((RawData!B36-RawData!B37)*(RawData!B39+A102+RawData!B38-SQRT(POWER(RawData!B39+A102+RawData!B38,2)-(4*RawData!B39*A102)))/(2*RawData!B39))+RawData!B37</f>
      </c>
      <c r="C102" s="0">
        <f>RawData!B46 + ((RawData!B45 - RawData!B46) * (1 / (1 + (POWER(RawData!B48 / A102, RawData!B47)))))</f>
      </c>
    </row>
    <row r="103">
      <c r="A103" s="0">
        <v>1.70029413997467e-07</v>
      </c>
      <c r="B103" s="0">
        <f>((RawData!B36-RawData!B37)*(RawData!B39+A103+RawData!B38-SQRT(POWER(RawData!B39+A103+RawData!B38,2)-(4*RawData!B39*A103)))/(2*RawData!B39))+RawData!B37</f>
      </c>
      <c r="C103" s="0">
        <f>RawData!B46 + ((RawData!B45 - RawData!B46) * (1 / (1 + (POWER(RawData!B48 / A103, RawData!B47)))))</f>
      </c>
    </row>
    <row r="104">
      <c r="A104" s="0">
        <v>1.58643052856287e-07</v>
      </c>
      <c r="B104" s="0">
        <f>((RawData!B36-RawData!B37)*(RawData!B39+A104+RawData!B38-SQRT(POWER(RawData!B39+A104+RawData!B38,2)-(4*RawData!B39*A104)))/(2*RawData!B39))+RawData!B37</f>
      </c>
      <c r="C104" s="0">
        <f>RawData!B46 + ((RawData!B45 - RawData!B46) * (1 / (1 + (POWER(RawData!B48 / A104, RawData!B47)))))</f>
      </c>
    </row>
    <row r="105">
      <c r="A105" s="0">
        <v>1.48019202253662e-07</v>
      </c>
      <c r="B105" s="0">
        <f>((RawData!B36-RawData!B37)*(RawData!B39+A105+RawData!B38-SQRT(POWER(RawData!B39+A105+RawData!B38,2)-(4*RawData!B39*A105)))/(2*RawData!B39))+RawData!B37</f>
      </c>
      <c r="C105" s="0">
        <f>RawData!B46 + ((RawData!B45 - RawData!B46) * (1 / (1 + (POWER(RawData!B48 / A105, RawData!B47)))))</f>
      </c>
    </row>
    <row r="106">
      <c r="A106" s="0">
        <v>1.38106799140194e-07</v>
      </c>
      <c r="B106" s="0">
        <f>((RawData!B36-RawData!B37)*(RawData!B39+A106+RawData!B38-SQRT(POWER(RawData!B39+A106+RawData!B38,2)-(4*RawData!B39*A106)))/(2*RawData!B39))+RawData!B37</f>
      </c>
      <c r="C106" s="0">
        <f>RawData!B46 + ((RawData!B45 - RawData!B46) * (1 / (1 + (POWER(RawData!B48 / A106, RawData!B47)))))</f>
      </c>
    </row>
    <row r="107">
      <c r="A107" s="0">
        <v>1.28858200006129e-07</v>
      </c>
      <c r="B107" s="0">
        <f>((RawData!B36-RawData!B37)*(RawData!B39+A107+RawData!B38-SQRT(POWER(RawData!B39+A107+RawData!B38,2)-(4*RawData!B39*A107)))/(2*RawData!B39))+RawData!B37</f>
      </c>
      <c r="C107" s="0">
        <f>RawData!B46 + ((RawData!B45 - RawData!B46) * (1 / (1 + (POWER(RawData!B48 / A107, RawData!B47)))))</f>
      </c>
    </row>
    <row r="108">
      <c r="A108" s="0">
        <v>1.20228951885012e-07</v>
      </c>
      <c r="B108" s="0">
        <f>((RawData!B36-RawData!B37)*(RawData!B39+A108+RawData!B38-SQRT(POWER(RawData!B39+A108+RawData!B38,2)-(4*RawData!B39*A108)))/(2*RawData!B39))+RawData!B37</f>
      </c>
      <c r="C108" s="0">
        <f>RawData!B46 + ((RawData!B45 - RawData!B46) * (1 / (1 + (POWER(RawData!B48 / A108, RawData!B47)))))</f>
      </c>
    </row>
    <row r="109">
      <c r="A109" s="0">
        <v>1.12177578692556e-07</v>
      </c>
      <c r="B109" s="0">
        <f>((RawData!B36-RawData!B37)*(RawData!B39+A109+RawData!B38-SQRT(POWER(RawData!B39+A109+RawData!B38,2)-(4*RawData!B39*A109)))/(2*RawData!B39))+RawData!B37</f>
      </c>
      <c r="C109" s="0">
        <f>RawData!B46 + ((RawData!B45 - RawData!B46) * (1 / (1 + (POWER(RawData!B48 / A109, RawData!B47)))))</f>
      </c>
    </row>
    <row r="110">
      <c r="A110" s="0">
        <v>1.04665381873742e-07</v>
      </c>
      <c r="B110" s="0">
        <f>((RawData!B36-RawData!B37)*(RawData!B39+A110+RawData!B38-SQRT(POWER(RawData!B39+A110+RawData!B38,2)-(4*RawData!B39*A110)))/(2*RawData!B39))+RawData!B37</f>
      </c>
      <c r="C110" s="0">
        <f>RawData!B46 + ((RawData!B45 - RawData!B46) * (1 / (1 + (POWER(RawData!B48 / A110, RawData!B47)))))</f>
      </c>
    </row>
    <row r="111">
      <c r="A111" s="0">
        <v>9.76562543999998e-08</v>
      </c>
      <c r="B111" s="0">
        <f>((RawData!B36-RawData!B37)*(RawData!B39+A111+RawData!B38-SQRT(POWER(RawData!B39+A111+RawData!B38,2)-(4*RawData!B39*A111)))/(2*RawData!B39))+RawData!B37</f>
      </c>
      <c r="C111" s="0">
        <f>RawData!B46 + ((RawData!B45 - RawData!B46) * (1 / (1 + (POWER(RawData!B48 / A111, RawData!B47)))))</f>
      </c>
    </row>
    <row r="112">
      <c r="A112" s="0">
        <v>9.11165072224327e-08</v>
      </c>
      <c r="B112" s="0">
        <f>((RawData!B36-RawData!B37)*(RawData!B39+A112+RawData!B38-SQRT(POWER(RawData!B39+A112+RawData!B38,2)-(4*RawData!B39*A112)))/(2*RawData!B39))+RawData!B37</f>
      </c>
      <c r="C112" s="0">
        <f>RawData!B46 + ((RawData!B45 - RawData!B46) * (1 / (1 + (POWER(RawData!B48 / A112, RawData!B47)))))</f>
      </c>
    </row>
    <row r="113">
      <c r="A113" s="0">
        <v>8.50147073469535e-08</v>
      </c>
      <c r="B113" s="0">
        <f>((RawData!B36-RawData!B37)*(RawData!B39+A113+RawData!B38-SQRT(POWER(RawData!B39+A113+RawData!B38,2)-(4*RawData!B39*A113)))/(2*RawData!B39))+RawData!B37</f>
      </c>
      <c r="C113" s="0">
        <f>RawData!B46 + ((RawData!B45 - RawData!B46) * (1 / (1 + (POWER(RawData!B48 / A113, RawData!B47)))))</f>
      </c>
    </row>
    <row r="114">
      <c r="A114" s="0">
        <v>7.93215267530443e-08</v>
      </c>
      <c r="B114" s="0">
        <f>((RawData!B36-RawData!B37)*(RawData!B39+A114+RawData!B38-SQRT(POWER(RawData!B39+A114+RawData!B38,2)-(4*RawData!B39*A114)))/(2*RawData!B39))+RawData!B37</f>
      </c>
      <c r="C114" s="0">
        <f>RawData!B46 + ((RawData!B45 - RawData!B46) * (1 / (1 + (POWER(RawData!B48 / A114, RawData!B47)))))</f>
      </c>
    </row>
    <row r="115">
      <c r="A115" s="0">
        <v>7.40096014299742e-08</v>
      </c>
      <c r="B115" s="0">
        <f>((RawData!B36-RawData!B37)*(RawData!B39+A115+RawData!B38-SQRT(POWER(RawData!B39+A115+RawData!B38,2)-(4*RawData!B39*A115)))/(2*RawData!B39))+RawData!B37</f>
      </c>
      <c r="C115" s="0">
        <f>RawData!B46 + ((RawData!B45 - RawData!B46) * (1 / (1 + (POWER(RawData!B48 / A115, RawData!B47)))))</f>
      </c>
    </row>
    <row r="116">
      <c r="A116" s="0">
        <v>6.90533998529399e-08</v>
      </c>
      <c r="B116" s="0">
        <f>((RawData!B36-RawData!B37)*(RawData!B39+A116+RawData!B38-SQRT(POWER(RawData!B39+A116+RawData!B38,2)-(4*RawData!B39*A116)))/(2*RawData!B39))+RawData!B37</f>
      </c>
      <c r="C116" s="0">
        <f>RawData!B46 + ((RawData!B45 - RawData!B46) * (1 / (1 + (POWER(RawData!B48 / A116, RawData!B47)))))</f>
      </c>
    </row>
    <row r="117">
      <c r="A117" s="0">
        <v>6.4429100266966e-08</v>
      </c>
      <c r="B117" s="0">
        <f>((RawData!B36-RawData!B37)*(RawData!B39+A117+RawData!B38-SQRT(POWER(RawData!B39+A117+RawData!B38,2)-(4*RawData!B39*A117)))/(2*RawData!B39))+RawData!B37</f>
      </c>
      <c r="C117" s="0">
        <f>RawData!B46 + ((RawData!B45 - RawData!B46) * (1 / (1 + (POWER(RawData!B48 / A117, RawData!B47)))))</f>
      </c>
    </row>
    <row r="118">
      <c r="A118" s="0">
        <v>6.01144761887351e-08</v>
      </c>
      <c r="B118" s="0">
        <f>((RawData!B36-RawData!B37)*(RawData!B39+A118+RawData!B38-SQRT(POWER(RawData!B39+A118+RawData!B38,2)-(4*RawData!B39*A118)))/(2*RawData!B39))+RawData!B37</f>
      </c>
      <c r="C118" s="0">
        <f>RawData!B46 + ((RawData!B45 - RawData!B46) * (1 / (1 + (POWER(RawData!B48 / A118, RawData!B47)))))</f>
      </c>
    </row>
    <row r="119">
      <c r="A119" s="0">
        <v>5.60887895760176e-08</v>
      </c>
      <c r="B119" s="0">
        <f>((RawData!B36-RawData!B37)*(RawData!B39+A119+RawData!B38-SQRT(POWER(RawData!B39+A119+RawData!B38,2)-(4*RawData!B39*A119)))/(2*RawData!B39))+RawData!B37</f>
      </c>
      <c r="C119" s="0">
        <f>RawData!B46 + ((RawData!B45 - RawData!B46) * (1 / (1 + (POWER(RawData!B48 / A119, RawData!B47)))))</f>
      </c>
    </row>
    <row r="120">
      <c r="A120" s="0">
        <v>5.23326911512257e-08</v>
      </c>
      <c r="B120" s="0">
        <f>((RawData!B36-RawData!B37)*(RawData!B39+A120+RawData!B38-SQRT(POWER(RawData!B39+A120+RawData!B38,2)-(4*RawData!B39*A120)))/(2*RawData!B39))+RawData!B37</f>
      </c>
      <c r="C120" s="0">
        <f>RawData!B46 + ((RawData!B45 - RawData!B46) * (1 / (1 + (POWER(RawData!B48 / A120, RawData!B47)))))</f>
      </c>
    </row>
    <row r="121">
      <c r="A121" s="0">
        <v>4.88281273999999e-08</v>
      </c>
      <c r="B121" s="0">
        <f>((RawData!B36-RawData!B37)*(RawData!B39+A121+RawData!B38-SQRT(POWER(RawData!B39+A121+RawData!B38,2)-(4*RawData!B39*A121)))/(2*RawData!B39))+RawData!B37</f>
      </c>
      <c r="C121" s="0">
        <f>RawData!B46 + ((RawData!B45 - RawData!B46) * (1 / (1 + (POWER(RawData!B48 / A121, RawData!B47)))))</f>
      </c>
    </row>
    <row r="122">
      <c r="A122" s="0">
        <v>4.55582537978229e-08</v>
      </c>
      <c r="B122" s="0">
        <f>((RawData!B36-RawData!B37)*(RawData!B39+A122+RawData!B38-SQRT(POWER(RawData!B39+A122+RawData!B38,2)-(4*RawData!B39*A122)))/(2*RawData!B39))+RawData!B37</f>
      </c>
      <c r="C122" s="0">
        <f>RawData!B46 + ((RawData!B45 - RawData!B46) * (1 / (1 + (POWER(RawData!B48 / A122, RawData!B47)))))</f>
      </c>
    </row>
    <row r="123">
      <c r="A123" s="0">
        <v>4.25073538475869e-08</v>
      </c>
      <c r="B123" s="0">
        <f>((RawData!B36-RawData!B37)*(RawData!B39+A123+RawData!B38-SQRT(POWER(RawData!B39+A123+RawData!B38,2)-(4*RawData!B39*A123)))/(2*RawData!B39))+RawData!B37</f>
      </c>
      <c r="C123" s="0">
        <f>RawData!B46 + ((RawData!B45 - RawData!B46) * (1 / (1 + (POWER(RawData!B48 / A123, RawData!B47)))))</f>
      </c>
    </row>
    <row r="124">
      <c r="A124" s="0">
        <v>3.96607635389726e-08</v>
      </c>
      <c r="B124" s="0">
        <f>((RawData!B36-RawData!B37)*(RawData!B39+A124+RawData!B38-SQRT(POWER(RawData!B39+A124+RawData!B38,2)-(4*RawData!B39*A124)))/(2*RawData!B39))+RawData!B37</f>
      </c>
      <c r="C124" s="0">
        <f>RawData!B46 + ((RawData!B45 - RawData!B46) * (1 / (1 + (POWER(RawData!B48 / A124, RawData!B47)))))</f>
      </c>
    </row>
    <row r="125">
      <c r="A125" s="0">
        <v>3.70048008665587e-08</v>
      </c>
      <c r="B125" s="0">
        <f>((RawData!B36-RawData!B37)*(RawData!B39+A125+RawData!B38-SQRT(POWER(RawData!B39+A125+RawData!B38,2)-(4*RawData!B39*A125)))/(2*RawData!B39))+RawData!B37</f>
      </c>
      <c r="C125" s="0">
        <f>RawData!B46 + ((RawData!B45 - RawData!B46) * (1 / (1 + (POWER(RawData!B48 / A125, RawData!B47)))))</f>
      </c>
    </row>
    <row r="126">
      <c r="A126" s="0">
        <v>3.45267000678913e-08</v>
      </c>
      <c r="B126" s="0">
        <f>((RawData!B36-RawData!B37)*(RawData!B39+A126+RawData!B38-SQRT(POWER(RawData!B39+A126+RawData!B38,2)-(4*RawData!B39*A126)))/(2*RawData!B39))+RawData!B37</f>
      </c>
      <c r="C126" s="0">
        <f>RawData!B46 + ((RawData!B45 - RawData!B46) * (1 / (1 + (POWER(RawData!B48 / A126, RawData!B47)))))</f>
      </c>
    </row>
    <row r="127">
      <c r="A127" s="0">
        <v>3.22145502654338e-08</v>
      </c>
      <c r="B127" s="0">
        <f>((RawData!B36-RawData!B37)*(RawData!B39+A127+RawData!B38-SQRT(POWER(RawData!B39+A127+RawData!B38,2)-(4*RawData!B39*A127)))/(2*RawData!B39))+RawData!B37</f>
      </c>
      <c r="C127" s="0">
        <f>RawData!B46 + ((RawData!B45 - RawData!B46) * (1 / (1 + (POWER(RawData!B48 / A127, RawData!B47)))))</f>
      </c>
    </row>
    <row r="128">
      <c r="A128" s="0">
        <v>3.0057238217482e-08</v>
      </c>
      <c r="B128" s="0">
        <f>((RawData!B36-RawData!B37)*(RawData!B39+A128+RawData!B38-SQRT(POWER(RawData!B39+A128+RawData!B38,2)-(4*RawData!B39*A128)))/(2*RawData!B39))+RawData!B37</f>
      </c>
      <c r="C128" s="0">
        <f>RawData!B46 + ((RawData!B45 - RawData!B46) * (1 / (1 + (POWER(RawData!B48 / A128, RawData!B47)))))</f>
      </c>
    </row>
    <row r="129">
      <c r="A129" s="0">
        <v>2.80443949028786e-08</v>
      </c>
      <c r="B129" s="0">
        <f>((RawData!B36-RawData!B37)*(RawData!B39+A129+RawData!B38-SQRT(POWER(RawData!B39+A129+RawData!B38,2)-(4*RawData!B39*A129)))/(2*RawData!B39))+RawData!B37</f>
      </c>
      <c r="C129" s="0">
        <f>RawData!B46 + ((RawData!B45 - RawData!B46) * (1 / (1 + (POWER(RawData!B48 / A129, RawData!B47)))))</f>
      </c>
    </row>
    <row r="130">
      <c r="A130" s="0">
        <v>2.61663456827902e-08</v>
      </c>
      <c r="B130" s="0">
        <f>((RawData!B36-RawData!B37)*(RawData!B39+A130+RawData!B38-SQRT(POWER(RawData!B39+A130+RawData!B38,2)-(4*RawData!B39*A130)))/(2*RawData!B39))+RawData!B37</f>
      </c>
      <c r="C130" s="0">
        <f>RawData!B46 + ((RawData!B45 - RawData!B46) * (1 / (1 + (POWER(RawData!B48 / A130, RawData!B47)))))</f>
      </c>
    </row>
    <row r="131">
      <c r="A131" s="0">
        <v>2.44140638e-08</v>
      </c>
      <c r="B131" s="0">
        <f>((RawData!B36-RawData!B37)*(RawData!B39+A131+RawData!B38-SQRT(POWER(RawData!B39+A131+RawData!B38,2)-(4*RawData!B39*A131)))/(2*RawData!B39))+RawData!B37</f>
      </c>
      <c r="C131" s="0">
        <f>RawData!B46 + ((RawData!B45 - RawData!B46) * (1 / (1 + (POWER(RawData!B48 / A131, RawData!B47)))))</f>
      </c>
    </row>
    <row r="132">
      <c r="A132" s="0">
        <v>2.27791269922148e-08</v>
      </c>
      <c r="B132" s="0">
        <f>((RawData!B36-RawData!B37)*(RawData!B39+A132+RawData!B38-SQRT(POWER(RawData!B39+A132+RawData!B38,2)-(4*RawData!B39*A132)))/(2*RawData!B39))+RawData!B37</f>
      </c>
      <c r="C132" s="0">
        <f>RawData!B46 + ((RawData!B45 - RawData!B46) * (1 / (1 + (POWER(RawData!B48 / A132, RawData!B47)))))</f>
      </c>
    </row>
    <row r="133">
      <c r="A133" s="0">
        <v>2.12536770108485e-08</v>
      </c>
      <c r="B133" s="0">
        <f>((RawData!B36-RawData!B37)*(RawData!B39+A133+RawData!B38-SQRT(POWER(RawData!B39+A133+RawData!B38,2)-(4*RawData!B39*A133)))/(2*RawData!B39))+RawData!B37</f>
      </c>
      <c r="C133" s="0">
        <f>RawData!B46 + ((RawData!B45 - RawData!B46) * (1 / (1 + (POWER(RawData!B48 / A133, RawData!B47)))))</f>
      </c>
    </row>
    <row r="134">
      <c r="A134" s="0">
        <v>1.98303818507116e-08</v>
      </c>
      <c r="B134" s="0">
        <f>((RawData!B36-RawData!B37)*(RawData!B39+A134+RawData!B38-SQRT(POWER(RawData!B39+A134+RawData!B38,2)-(4*RawData!B39*A134)))/(2*RawData!B39))+RawData!B37</f>
      </c>
      <c r="C134" s="0">
        <f>RawData!B46 + ((RawData!B45 - RawData!B46) * (1 / (1 + (POWER(RawData!B48 / A134, RawData!B47)))))</f>
      </c>
    </row>
    <row r="135">
      <c r="A135" s="0">
        <v>1.85024005090652e-08</v>
      </c>
      <c r="B135" s="0">
        <f>((RawData!B36-RawData!B37)*(RawData!B39+A135+RawData!B38-SQRT(POWER(RawData!B39+A135+RawData!B38,2)-(4*RawData!B39*A135)))/(2*RawData!B39))+RawData!B37</f>
      </c>
      <c r="C135" s="0">
        <f>RawData!B46 + ((RawData!B45 - RawData!B46) * (1 / (1 + (POWER(RawData!B48 / A135, RawData!B47)))))</f>
      </c>
    </row>
    <row r="136">
      <c r="A136" s="0">
        <v>1.72633501046563e-08</v>
      </c>
      <c r="B136" s="0">
        <f>((RawData!B36-RawData!B37)*(RawData!B39+A136+RawData!B38-SQRT(POWER(RawData!B39+A136+RawData!B38,2)-(4*RawData!B39*A136)))/(2*RawData!B39))+RawData!B37</f>
      </c>
      <c r="C136" s="0">
        <f>RawData!B46 + ((RawData!B45 - RawData!B46) * (1 / (1 + (POWER(RawData!B48 / A136, RawData!B47)))))</f>
      </c>
    </row>
    <row r="137">
      <c r="A137" s="0">
        <v>1.61072751986923e-08</v>
      </c>
      <c r="B137" s="0">
        <f>((RawData!B36-RawData!B37)*(RawData!B39+A137+RawData!B38-SQRT(POWER(RawData!B39+A137+RawData!B38,2)-(4*RawData!B39*A137)))/(2*RawData!B39))+RawData!B37</f>
      </c>
      <c r="C137" s="0">
        <f>RawData!B46 + ((RawData!B45 - RawData!B46) * (1 / (1 + (POWER(RawData!B48 / A137, RawData!B47)))))</f>
      </c>
    </row>
    <row r="138">
      <c r="A138" s="0">
        <v>1.50286191702982e-08</v>
      </c>
      <c r="B138" s="0">
        <f>((RawData!B36-RawData!B37)*(RawData!B39+A138+RawData!B38-SQRT(POWER(RawData!B39+A138+RawData!B38,2)-(4*RawData!B39*A138)))/(2*RawData!B39))+RawData!B37</f>
      </c>
      <c r="C138" s="0">
        <f>RawData!B46 + ((RawData!B45 - RawData!B46) * (1 / (1 + (POWER(RawData!B48 / A138, RawData!B47)))))</f>
      </c>
    </row>
    <row r="139">
      <c r="A139" s="0">
        <v>1.40221975088742e-08</v>
      </c>
      <c r="B139" s="0">
        <f>((RawData!B36-RawData!B37)*(RawData!B39+A139+RawData!B38-SQRT(POWER(RawData!B39+A139+RawData!B38,2)-(4*RawData!B39*A139)))/(2*RawData!B39))+RawData!B37</f>
      </c>
      <c r="C139" s="0">
        <f>RawData!B46 + ((RawData!B45 - RawData!B46) * (1 / (1 + (POWER(RawData!B48 / A139, RawData!B47)))))</f>
      </c>
    </row>
    <row r="140">
      <c r="A140" s="0">
        <v>1.30831728949838e-08</v>
      </c>
      <c r="B140" s="0">
        <f>((RawData!B36-RawData!B37)*(RawData!B39+A140+RawData!B38-SQRT(POWER(RawData!B39+A140+RawData!B38,2)-(4*RawData!B39*A140)))/(2*RawData!B39))+RawData!B37</f>
      </c>
      <c r="C140" s="0">
        <f>RawData!B46 + ((RawData!B45 - RawData!B46) * (1 / (1 + (POWER(RawData!B48 / A140, RawData!B47)))))</f>
      </c>
    </row>
    <row r="141">
      <c r="A141" s="0">
        <v>1.220703195e-08</v>
      </c>
      <c r="B141" s="0">
        <f>((RawData!B36-RawData!B37)*(RawData!B39+A141+RawData!B38-SQRT(POWER(RawData!B39+A141+RawData!B38,2)-(4*RawData!B39*A141)))/(2*RawData!B39))+RawData!B37</f>
      </c>
      <c r="C141" s="0">
        <f>RawData!B46 + ((RawData!B45 - RawData!B46) * (1 / (1 + (POWER(RawData!B48 / A141, RawData!B47)))))</f>
      </c>
    </row>
    <row r="142">
      <c r="A142" s="0">
        <v>1.1389563542759e-08</v>
      </c>
      <c r="B142" s="0">
        <f>((RawData!B36-RawData!B37)*(RawData!B39+A142+RawData!B38-SQRT(POWER(RawData!B39+A142+RawData!B38,2)-(4*RawData!B39*A142)))/(2*RawData!B39))+RawData!B37</f>
      </c>
      <c r="C142" s="0">
        <f>RawData!B46 + ((RawData!B45 - RawData!B46) * (1 / (1 + (POWER(RawData!B48 / A142, RawData!B47)))))</f>
      </c>
    </row>
    <row r="143">
      <c r="A143" s="0">
        <v>1.06268385489518e-08</v>
      </c>
      <c r="B143" s="0">
        <f>((RawData!B36-RawData!B37)*(RawData!B39+A143+RawData!B38-SQRT(POWER(RawData!B39+A143+RawData!B38,2)-(4*RawData!B39*A143)))/(2*RawData!B39))+RawData!B37</f>
      </c>
      <c r="C143" s="0">
        <f>RawData!B46 + ((RawData!B45 - RawData!B46) * (1 / (1 + (POWER(RawData!B48 / A143, RawData!B47)))))</f>
      </c>
    </row>
    <row r="144">
      <c r="A144" s="0">
        <v>9.9151909659684e-09</v>
      </c>
      <c r="B144" s="0">
        <f>((RawData!B36-RawData!B37)*(RawData!B39+A144+RawData!B38-SQRT(POWER(RawData!B39+A144+RawData!B38,2)-(4*RawData!B39*A144)))/(2*RawData!B39))+RawData!B37</f>
      </c>
      <c r="C144" s="0">
        <f>RawData!B46 + ((RawData!B45 - RawData!B46) * (1 / (1 + (POWER(RawData!B48 / A144, RawData!B47)))))</f>
      </c>
    </row>
    <row r="145">
      <c r="A145" s="0">
        <v>9.25120029242551e-09</v>
      </c>
      <c r="B145" s="0">
        <f>((RawData!B36-RawData!B37)*(RawData!B39+A145+RawData!B38-SQRT(POWER(RawData!B39+A145+RawData!B38,2)-(4*RawData!B39*A145)))/(2*RawData!B39))+RawData!B37</f>
      </c>
      <c r="C145" s="0">
        <f>RawData!B46 + ((RawData!B45 - RawData!B46) * (1 / (1 + (POWER(RawData!B48 / A145, RawData!B47)))))</f>
      </c>
    </row>
    <row r="146">
      <c r="A146" s="0">
        <v>8.6316750876835e-09</v>
      </c>
      <c r="B146" s="0">
        <f>((RawData!B36-RawData!B37)*(RawData!B39+A146+RawData!B38-SQRT(POWER(RawData!B39+A146+RawData!B38,2)-(4*RawData!B39*A146)))/(2*RawData!B39))+RawData!B37</f>
      </c>
      <c r="C146" s="0">
        <f>RawData!B46 + ((RawData!B45 - RawData!B46) * (1 / (1 + (POWER(RawData!B48 / A146, RawData!B47)))))</f>
      </c>
    </row>
    <row r="147">
      <c r="A147" s="0">
        <v>8.05363763233384e-09</v>
      </c>
      <c r="B147" s="0">
        <f>((RawData!B36-RawData!B37)*(RawData!B39+A147+RawData!B38-SQRT(POWER(RawData!B39+A147+RawData!B38,2)-(4*RawData!B39*A147)))/(2*RawData!B39))+RawData!B37</f>
      </c>
      <c r="C147" s="0">
        <f>RawData!B46 + ((RawData!B45 - RawData!B46) * (1 / (1 + (POWER(RawData!B48 / A147, RawData!B47)))))</f>
      </c>
    </row>
    <row r="148">
      <c r="A148" s="0">
        <v>7.51430961592771e-09</v>
      </c>
      <c r="B148" s="0">
        <f>((RawData!B36-RawData!B37)*(RawData!B39+A148+RawData!B38-SQRT(POWER(RawData!B39+A148+RawData!B38,2)-(4*RawData!B39*A148)))/(2*RawData!B39))+RawData!B37</f>
      </c>
      <c r="C148" s="0">
        <f>RawData!B46 + ((RawData!B45 - RawData!B46) * (1 / (1 + (POWER(RawData!B48 / A148, RawData!B47)))))</f>
      </c>
    </row>
    <row r="149">
      <c r="A149" s="0">
        <v>7.01109878315458e-09</v>
      </c>
      <c r="B149" s="0">
        <f>((RawData!B36-RawData!B37)*(RawData!B39+A149+RawData!B38-SQRT(POWER(RawData!B39+A149+RawData!B38,2)-(4*RawData!B39*A149)))/(2*RawData!B39))+RawData!B37</f>
      </c>
      <c r="C149" s="0">
        <f>RawData!B46 + ((RawData!B45 - RawData!B46) * (1 / (1 + (POWER(RawData!B48 / A149, RawData!B47)))))</f>
      </c>
    </row>
    <row r="150">
      <c r="A150" s="0">
        <v>6.54158647428622e-09</v>
      </c>
      <c r="B150" s="0">
        <f>((RawData!B36-RawData!B37)*(RawData!B39+A150+RawData!B38-SQRT(POWER(RawData!B39+A150+RawData!B38,2)-(4*RawData!B39*A150)))/(2*RawData!B39))+RawData!B37</f>
      </c>
      <c r="C150" s="0">
        <f>RawData!B46 + ((RawData!B45 - RawData!B46) * (1 / (1 + (POWER(RawData!B48 / A150, RawData!B47)))))</f>
      </c>
    </row>
    <row r="151">
      <c r="A151" s="0">
        <v>6.10351599999999e-09</v>
      </c>
      <c r="B151" s="0">
        <f>((RawData!B36-RawData!B37)*(RawData!B39+A151+RawData!B38-SQRT(POWER(RawData!B39+A151+RawData!B38,2)-(4*RawData!B39*A151)))/(2*RawData!B39))+RawData!B37</f>
      </c>
      <c r="C151" s="0">
        <f>RawData!B46 + ((RawData!B45 - RawData!B46) * (1 / (1 + (POWER(RawData!B48 / A151, RawData!B47)))))</f>
      </c>
    </row>
  </sheetData>
  <headerFooter/>
</worksheet>
</file>