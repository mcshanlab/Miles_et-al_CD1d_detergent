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showInkAnnotation="0" autoCompressPictures="0" defaultThemeVersion="166925"/>
  <xr:revisionPtr revIDLastSave="1" documentId="11_4AF3953B0D07F989D369A4F80E84AC6C6C33B87B" xr6:coauthVersionLast="47" xr6:coauthVersionMax="47" xr10:uidLastSave="{480F4F32-4C3E-447F-970B-F3CCE5B54142}"/>
  <bookViews>
    <workbookView xWindow="0" yWindow="0" windowWidth="0" windowHeight="0" xr2:uid="{00000000-000D-0000-FFFF-FFFF00000000}"/>
  </bookViews>
  <sheets>
    <sheet name="RawData" sheetId="1" r:id="rId1"/>
    <sheet name="Graph" sheetId="2" r:id="rId2"/>
    <sheet name="Fit-Value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1" i="3" l="1"/>
  <c r="B151" i="3"/>
  <c r="C150" i="3"/>
  <c r="B150" i="3"/>
  <c r="C149" i="3"/>
  <c r="B149" i="3"/>
  <c r="C148" i="3"/>
  <c r="B148" i="3"/>
  <c r="C147" i="3"/>
  <c r="B147" i="3"/>
  <c r="C146" i="3"/>
  <c r="B146" i="3"/>
  <c r="C145" i="3"/>
  <c r="B145" i="3"/>
  <c r="C144" i="3"/>
  <c r="B144" i="3"/>
  <c r="C143" i="3"/>
  <c r="B143" i="3"/>
  <c r="C142" i="3"/>
  <c r="B142" i="3"/>
  <c r="C141" i="3"/>
  <c r="B141" i="3"/>
  <c r="C140" i="3"/>
  <c r="B140" i="3"/>
  <c r="C139" i="3"/>
  <c r="B139" i="3"/>
  <c r="C138" i="3"/>
  <c r="B138" i="3"/>
  <c r="C137" i="3"/>
  <c r="B137" i="3"/>
  <c r="C136" i="3"/>
  <c r="B136" i="3"/>
  <c r="C135" i="3"/>
  <c r="B135" i="3"/>
  <c r="C134" i="3"/>
  <c r="B134" i="3"/>
  <c r="C133" i="3"/>
  <c r="B133" i="3"/>
  <c r="C132" i="3"/>
  <c r="B132" i="3"/>
  <c r="C131" i="3"/>
  <c r="B131" i="3"/>
  <c r="C130" i="3"/>
  <c r="B130" i="3"/>
  <c r="C129" i="3"/>
  <c r="B129" i="3"/>
  <c r="C128" i="3"/>
  <c r="B128" i="3"/>
  <c r="C127" i="3"/>
  <c r="B127" i="3"/>
  <c r="C126" i="3"/>
  <c r="B126" i="3"/>
  <c r="C125" i="3"/>
  <c r="B125" i="3"/>
  <c r="C124" i="3"/>
  <c r="B124" i="3"/>
  <c r="C123" i="3"/>
  <c r="B123" i="3"/>
  <c r="C122" i="3"/>
  <c r="B122" i="3"/>
  <c r="C121" i="3"/>
  <c r="B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  <c r="C2" i="3"/>
  <c r="B2" i="3"/>
</calcChain>
</file>

<file path=xl/sharedStrings.xml><?xml version="1.0" encoding="utf-8"?>
<sst xmlns="http://schemas.openxmlformats.org/spreadsheetml/2006/main" count="86" uniqueCount="60">
  <si>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</si>
  <si>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</si>
  <si>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</si>
  <si>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</si>
  <si>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</si>
  <si>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</si>
  <si>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</si>
  <si>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</si>
  <si>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</si>
  <si>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</si>
  <si>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</si>
  <si>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</si>
  <si>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</si>
  <si>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</si>
  <si>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</si>
  <si>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</si>
  <si>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</si>
  <si>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</si>
  <si>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</si>
  <si>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</si>
  <si>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</si>
  <si>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</si>
  <si>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</si>
  <si>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</si>
  <si>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</si>
  <si>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Date of Measurement:</t>
  </si>
  <si>
    <t>2025-01-22 10:35:06.196 → 2025-01-22 10:45:14.204</t>
  </si>
  <si>
    <t>Capillary Type:</t>
  </si>
  <si>
    <t>Unspecified container/capillary type</t>
  </si>
  <si>
    <t>Target:</t>
  </si>
  <si>
    <t>CD1d</t>
  </si>
  <si>
    <t>TargetConcentration:</t>
  </si>
  <si>
    <t>Ligand:</t>
  </si>
  <si>
    <t>LPC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</si>
  <si>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</si>
  <si>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</si>
  <si>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</si>
  <si>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</si>
  <si>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</si>
  <si>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</si>
  <si>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</si>
  <si>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Fit Results (Kd)</t>
  </si>
  <si>
    <t>Fit Model:</t>
  </si>
  <si>
    <t>Kd</t>
  </si>
  <si>
    <t>Bound</t>
  </si>
  <si>
    <t>Unbound</t>
  </si>
  <si>
    <t>TargetConc</t>
  </si>
  <si>
    <t>Standard Deviation:</t>
  </si>
  <si>
    <t>Kd Confidence:</t>
  </si>
  <si>
    <t>Fit Results (Hill)</t>
  </si>
  <si>
    <t>Hill</t>
  </si>
  <si>
    <t>Hill Coeff.</t>
  </si>
  <si>
    <t>EC50</t>
  </si>
  <si>
    <t>EC50 Confidence:</t>
  </si>
  <si>
    <t>Dose Response Curve</t>
  </si>
  <si>
    <t>Ligand Concentration [M]</t>
  </si>
  <si>
    <t>Fnorm [‰]</t>
  </si>
  <si>
    <t>Error Value</t>
  </si>
  <si>
    <t>Dose</t>
  </si>
  <si>
    <t>FNorm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</si>
</sst>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\ hh:mm:ss.000"/>
    <numFmt numFmtId="165" formatCode="General\s"/>
    <numFmt numFmtId="166" formatCode="General\%"/>
    <numFmt numFmtId="167" formatCode="0.0\°\C"/>
    <numFmt numFmtId="168" formatCode="General\ \_xd83d_\_xdd12_"/>
    <numFmt numFmtId="169" formatCode="\±General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/>
      </patternFill>
    </fill>
    <fill>
      <patternFill patternType="solid">
        <fgColor rgb="FFA6A6A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4" borderId="1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/>
    </xf>
    <xf numFmtId="165" fontId="0" fillId="4" borderId="1" xfId="0" applyNumberFormat="1" applyFill="1" applyBorder="1" applyAlignment="1">
      <alignment horizontal="left" vertical="top"/>
    </xf>
    <xf numFmtId="166" fontId="0" fillId="4" borderId="1" xfId="0" applyNumberFormat="1" applyFill="1" applyBorder="1" applyAlignment="1">
      <alignment horizontal="left" vertical="top"/>
    </xf>
    <xf numFmtId="167" fontId="0" fillId="4" borderId="1" xfId="0" applyNumberFormat="1" applyFill="1" applyBorder="1" applyAlignment="1">
      <alignment horizontal="left" vertical="top"/>
    </xf>
    <xf numFmtId="168" fontId="0" fillId="4" borderId="1" xfId="0" applyNumberFormat="1" applyFill="1" applyBorder="1" applyAlignment="1">
      <alignment horizontal="left" vertical="top"/>
    </xf>
    <xf numFmtId="169" fontId="0" fillId="4" borderId="1" xfId="0" applyNumberForma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right" vertical="top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Dose Response Chart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kd Fit</c:v>
          </c:tx>
          <c:spPr>
            <a:ln>
              <a:solidFill>
                <a:srgbClr val="1D9659"/>
              </a:solidFill>
            </a:ln>
          </c:spPr>
          <c:marker>
            <c:symbol val="none"/>
          </c:marker>
          <c:xVal>
            <c:numRef>
              <c:f>'Fit-Values'!$A$2:$A$151</c:f>
              <c:numCache>
                <c:formatCode>General</c:formatCode>
                <c:ptCount val="150"/>
                <c:pt idx="0">
                  <c:v>1.8660659838379601E-4</c:v>
                </c:pt>
                <c:pt idx="1">
                  <c:v>1.7411011280185599E-4</c:v>
                </c:pt>
                <c:pt idx="2">
                  <c:v>1.62450479470866E-4</c:v>
                </c:pt>
                <c:pt idx="3">
                  <c:v>1.5157165689937501E-4</c:v>
                </c:pt>
                <c:pt idx="4">
                  <c:v>1.4142135652694E-4</c:v>
                </c:pt>
                <c:pt idx="5">
                  <c:v>1.31950791401572E-4</c:v>
                </c:pt>
                <c:pt idx="6">
                  <c:v>1.2311444168748499E-4</c:v>
                </c:pt>
                <c:pt idx="7">
                  <c:v>1.14869835876109E-4</c:v>
                </c:pt>
                <c:pt idx="8">
                  <c:v>1.07177346648728E-4</c:v>
                </c:pt>
                <c:pt idx="9">
                  <c:v>1.000000004096E-4</c:v>
                </c:pt>
                <c:pt idx="10">
                  <c:v>9.3303299574068105E-5</c:v>
                </c:pt>
                <c:pt idx="11">
                  <c:v>8.7055056757505406E-5</c:v>
                </c:pt>
                <c:pt idx="12">
                  <c:v>8.1225240068131697E-5</c:v>
                </c:pt>
                <c:pt idx="13">
                  <c:v>7.5785828760106095E-5</c:v>
                </c:pt>
                <c:pt idx="14">
                  <c:v>7.0710678553101097E-5</c:v>
                </c:pt>
                <c:pt idx="15">
                  <c:v>6.5975395971021005E-5</c:v>
                </c:pt>
                <c:pt idx="16">
                  <c:v>6.1557221095881004E-5</c:v>
                </c:pt>
                <c:pt idx="17">
                  <c:v>5.7434918173307898E-5</c:v>
                </c:pt>
                <c:pt idx="18">
                  <c:v>5.3588673543863101E-5</c:v>
                </c:pt>
                <c:pt idx="19">
                  <c:v>5.0000000409600003E-5</c:v>
                </c:pt>
                <c:pt idx="20">
                  <c:v>4.6651649978119197E-5</c:v>
                </c:pt>
                <c:pt idx="21">
                  <c:v>4.3527528557041402E-5</c:v>
                </c:pt>
                <c:pt idx="22">
                  <c:v>4.0612620200415103E-5</c:v>
                </c:pt>
                <c:pt idx="23">
                  <c:v>3.7892914535262402E-5</c:v>
                </c:pt>
                <c:pt idx="24">
                  <c:v>3.5355339421366003E-5</c:v>
                </c:pt>
                <c:pt idx="25">
                  <c:v>3.29876981206281E-5</c:v>
                </c:pt>
                <c:pt idx="26">
                  <c:v>3.0778610674009701E-5</c:v>
                </c:pt>
                <c:pt idx="27">
                  <c:v>2.8717459204280601E-5</c:v>
                </c:pt>
                <c:pt idx="28">
                  <c:v>2.67943368816812E-5</c:v>
                </c:pt>
                <c:pt idx="29">
                  <c:v>2.50000003072E-5</c:v>
                </c:pt>
                <c:pt idx="30">
                  <c:v>2.3325825084602201E-5</c:v>
                </c:pt>
                <c:pt idx="31">
                  <c:v>2.1763764367665101E-5</c:v>
                </c:pt>
                <c:pt idx="32">
                  <c:v>2.0306310183382199E-5</c:v>
                </c:pt>
                <c:pt idx="33">
                  <c:v>1.8946457345235899E-5</c:v>
                </c:pt>
                <c:pt idx="34">
                  <c:v>1.7677669783090701E-5</c:v>
                </c:pt>
                <c:pt idx="35">
                  <c:v>1.64938491278729E-5</c:v>
                </c:pt>
                <c:pt idx="36">
                  <c:v>1.5389305400039399E-5</c:v>
                </c:pt>
                <c:pt idx="37">
                  <c:v>1.43587296609537E-5</c:v>
                </c:pt>
                <c:pt idx="38">
                  <c:v>1.3397168495715401E-5</c:v>
                </c:pt>
                <c:pt idx="39">
                  <c:v>1.2500000204800001E-5</c:v>
                </c:pt>
                <c:pt idx="40">
                  <c:v>1.16629125900724E-5</c:v>
                </c:pt>
                <c:pt idx="41">
                  <c:v>1.08818822284047E-5</c:v>
                </c:pt>
                <c:pt idx="42">
                  <c:v>1.01531551332784E-5</c:v>
                </c:pt>
                <c:pt idx="43">
                  <c:v>9.47322871142029E-6</c:v>
                </c:pt>
                <c:pt idx="44">
                  <c:v>8.8388349277492398E-6</c:v>
                </c:pt>
                <c:pt idx="45">
                  <c:v>8.2469245977158292E-6</c:v>
                </c:pt>
                <c:pt idx="46">
                  <c:v>7.6946527315370095E-6</c:v>
                </c:pt>
                <c:pt idx="47">
                  <c:v>7.1793648598835197E-6</c:v>
                </c:pt>
                <c:pt idx="48">
                  <c:v>6.6985842752950897E-6</c:v>
                </c:pt>
                <c:pt idx="49">
                  <c:v>6.2500001279999898E-6</c:v>
                </c:pt>
                <c:pt idx="50">
                  <c:v>5.8314563189218303E-6</c:v>
                </c:pt>
                <c:pt idx="51">
                  <c:v>5.4409411364884602E-6</c:v>
                </c:pt>
                <c:pt idx="52">
                  <c:v>5.0765775874328702E-6</c:v>
                </c:pt>
                <c:pt idx="53">
                  <c:v>4.7366143751113203E-6</c:v>
                </c:pt>
                <c:pt idx="54">
                  <c:v>4.41941748197655E-6</c:v>
                </c:pt>
                <c:pt idx="55">
                  <c:v>4.1234623157476203E-6</c:v>
                </c:pt>
                <c:pt idx="56">
                  <c:v>3.8473263815271597E-6</c:v>
                </c:pt>
                <c:pt idx="57">
                  <c:v>3.5896824446450998E-6</c:v>
                </c:pt>
                <c:pt idx="58">
                  <c:v>3.34929215136624E-6</c:v>
                </c:pt>
                <c:pt idx="59">
                  <c:v>3.1250000768000002E-6</c:v>
                </c:pt>
                <c:pt idx="60">
                  <c:v>2.9157281714037401E-6</c:v>
                </c:pt>
                <c:pt idx="61">
                  <c:v>2.7204705793872801E-6</c:v>
                </c:pt>
                <c:pt idx="62">
                  <c:v>2.5382888041132699E-6</c:v>
                </c:pt>
                <c:pt idx="63">
                  <c:v>2.3683071972562402E-6</c:v>
                </c:pt>
                <c:pt idx="64">
                  <c:v>2.20970875003924E-6</c:v>
                </c:pt>
                <c:pt idx="65">
                  <c:v>2.06173116631866E-6</c:v>
                </c:pt>
                <c:pt idx="66">
                  <c:v>1.9236631986429001E-6</c:v>
                </c:pt>
                <c:pt idx="67">
                  <c:v>1.7948412296742199E-6</c:v>
                </c:pt>
                <c:pt idx="68">
                  <c:v>1.6746460825424701E-6</c:v>
                </c:pt>
                <c:pt idx="69">
                  <c:v>1.5625000448E-6</c:v>
                </c:pt>
                <c:pt idx="70">
                  <c:v>1.4578640916732799E-6</c:v>
                </c:pt>
                <c:pt idx="71">
                  <c:v>1.36023529526516E-6</c:v>
                </c:pt>
                <c:pt idx="72">
                  <c:v>1.26914440725505E-6</c:v>
                </c:pt>
                <c:pt idx="73">
                  <c:v>1.1841536034784201E-6</c:v>
                </c:pt>
                <c:pt idx="74">
                  <c:v>1.1048543795451E-6</c:v>
                </c:pt>
                <c:pt idx="75">
                  <c:v>1.0308655873817501E-6</c:v>
                </c:pt>
                <c:pt idx="76">
                  <c:v>9.6183160326111296E-7</c:v>
                </c:pt>
                <c:pt idx="77">
                  <c:v>8.9742061851294305E-7</c:v>
                </c:pt>
                <c:pt idx="78">
                  <c:v>8.3732304470091104E-7</c:v>
                </c:pt>
                <c:pt idx="79">
                  <c:v>7.8125002559999899E-7</c:v>
                </c:pt>
                <c:pt idx="80">
                  <c:v>7.2893204882234503E-7</c:v>
                </c:pt>
                <c:pt idx="81">
                  <c:v>6.8011765041834304E-7</c:v>
                </c:pt>
                <c:pt idx="82">
                  <c:v>6.3457220622673198E-7</c:v>
                </c:pt>
                <c:pt idx="83">
                  <c:v>5.9207680416435398E-7</c:v>
                </c:pt>
                <c:pt idx="84">
                  <c:v>5.5242719203529402E-7</c:v>
                </c:pt>
                <c:pt idx="85">
                  <c:v>5.1543279580209005E-7</c:v>
                </c:pt>
                <c:pt idx="86">
                  <c:v>4.8091580360038698E-7</c:v>
                </c:pt>
                <c:pt idx="87">
                  <c:v>4.4871031109438903E-7</c:v>
                </c:pt>
                <c:pt idx="88">
                  <c:v>4.1866152406529299E-7</c:v>
                </c:pt>
                <c:pt idx="89">
                  <c:v>3.9062501439999899E-7</c:v>
                </c:pt>
                <c:pt idx="90">
                  <c:v>3.6446602590402499E-7</c:v>
                </c:pt>
                <c:pt idx="91">
                  <c:v>3.4005882660205198E-7</c:v>
                </c:pt>
                <c:pt idx="92">
                  <c:v>3.1728610441297002E-7</c:v>
                </c:pt>
                <c:pt idx="93">
                  <c:v>2.9603840329475002E-7</c:v>
                </c:pt>
                <c:pt idx="94">
                  <c:v>2.7621359714901801E-7</c:v>
                </c:pt>
                <c:pt idx="95">
                  <c:v>2.5771639895665099E-7</c:v>
                </c:pt>
                <c:pt idx="96">
                  <c:v>2.40457902785109E-7</c:v>
                </c:pt>
                <c:pt idx="97">
                  <c:v>2.24355156466153E-7</c:v>
                </c:pt>
                <c:pt idx="98">
                  <c:v>2.0933076289006499E-7</c:v>
                </c:pt>
                <c:pt idx="99">
                  <c:v>1.9531250800000001E-7</c:v>
                </c:pt>
                <c:pt idx="100">
                  <c:v>1.82233013698439E-7</c:v>
                </c:pt>
                <c:pt idx="101">
                  <c:v>1.7002941399746699E-7</c:v>
                </c:pt>
                <c:pt idx="102">
                  <c:v>1.58643052856287E-7</c:v>
                </c:pt>
                <c:pt idx="103">
                  <c:v>1.48019202253662E-7</c:v>
                </c:pt>
                <c:pt idx="104">
                  <c:v>1.38106799140194E-7</c:v>
                </c:pt>
                <c:pt idx="105">
                  <c:v>1.2885820000612901E-7</c:v>
                </c:pt>
                <c:pt idx="106">
                  <c:v>1.2022895188501199E-7</c:v>
                </c:pt>
                <c:pt idx="107">
                  <c:v>1.1217757869255601E-7</c:v>
                </c:pt>
                <c:pt idx="108">
                  <c:v>1.04665381873742E-7</c:v>
                </c:pt>
                <c:pt idx="109">
                  <c:v>9.7656254399999801E-8</c:v>
                </c:pt>
                <c:pt idx="110">
                  <c:v>9.1116507222432698E-8</c:v>
                </c:pt>
                <c:pt idx="111">
                  <c:v>8.5014707346953503E-8</c:v>
                </c:pt>
                <c:pt idx="112">
                  <c:v>7.9321526753044294E-8</c:v>
                </c:pt>
                <c:pt idx="113">
                  <c:v>7.4009601429974194E-8</c:v>
                </c:pt>
                <c:pt idx="114">
                  <c:v>6.9053399852939898E-8</c:v>
                </c:pt>
                <c:pt idx="115">
                  <c:v>6.4429100266965998E-8</c:v>
                </c:pt>
                <c:pt idx="116">
                  <c:v>6.0114476188735098E-8</c:v>
                </c:pt>
                <c:pt idx="117">
                  <c:v>5.6088789576017598E-8</c:v>
                </c:pt>
                <c:pt idx="118">
                  <c:v>5.2332691151225702E-8</c:v>
                </c:pt>
                <c:pt idx="119">
                  <c:v>4.8828127399999897E-8</c:v>
                </c:pt>
                <c:pt idx="120">
                  <c:v>4.5558253797822902E-8</c:v>
                </c:pt>
                <c:pt idx="121">
                  <c:v>4.2507353847586902E-8</c:v>
                </c:pt>
                <c:pt idx="122">
                  <c:v>3.9660763538972597E-8</c:v>
                </c:pt>
                <c:pt idx="123">
                  <c:v>3.70048008665587E-8</c:v>
                </c:pt>
                <c:pt idx="124">
                  <c:v>3.4526700067891298E-8</c:v>
                </c:pt>
                <c:pt idx="125">
                  <c:v>3.2214550265433798E-8</c:v>
                </c:pt>
                <c:pt idx="126">
                  <c:v>3.0057238217482001E-8</c:v>
                </c:pt>
                <c:pt idx="127">
                  <c:v>2.80443949028786E-8</c:v>
                </c:pt>
                <c:pt idx="128">
                  <c:v>2.61663456827902E-8</c:v>
                </c:pt>
                <c:pt idx="129">
                  <c:v>2.44140638E-8</c:v>
                </c:pt>
                <c:pt idx="130">
                  <c:v>2.27791269922148E-8</c:v>
                </c:pt>
                <c:pt idx="131">
                  <c:v>2.1253677010848499E-8</c:v>
                </c:pt>
                <c:pt idx="132">
                  <c:v>1.98303818507116E-8</c:v>
                </c:pt>
                <c:pt idx="133">
                  <c:v>1.8502400509065201E-8</c:v>
                </c:pt>
                <c:pt idx="134">
                  <c:v>1.72633501046563E-8</c:v>
                </c:pt>
                <c:pt idx="135">
                  <c:v>1.6107275198692299E-8</c:v>
                </c:pt>
                <c:pt idx="136">
                  <c:v>1.50286191702982E-8</c:v>
                </c:pt>
                <c:pt idx="137">
                  <c:v>1.40221975088742E-8</c:v>
                </c:pt>
                <c:pt idx="138">
                  <c:v>1.3083172894983801E-8</c:v>
                </c:pt>
                <c:pt idx="139">
                  <c:v>1.2207031950000001E-8</c:v>
                </c:pt>
                <c:pt idx="140">
                  <c:v>1.1389563542759E-8</c:v>
                </c:pt>
                <c:pt idx="141">
                  <c:v>1.06268385489518E-8</c:v>
                </c:pt>
                <c:pt idx="142">
                  <c:v>9.9151909659683994E-9</c:v>
                </c:pt>
                <c:pt idx="143">
                  <c:v>9.2512002924255094E-9</c:v>
                </c:pt>
                <c:pt idx="144">
                  <c:v>8.6316750876835005E-9</c:v>
                </c:pt>
                <c:pt idx="145">
                  <c:v>8.0536376323338408E-9</c:v>
                </c:pt>
                <c:pt idx="146">
                  <c:v>7.5143096159277099E-9</c:v>
                </c:pt>
                <c:pt idx="147">
                  <c:v>7.0110987831545801E-9</c:v>
                </c:pt>
                <c:pt idx="148">
                  <c:v>6.5415864742862201E-9</c:v>
                </c:pt>
                <c:pt idx="149">
                  <c:v>6.1035159999999901E-9</c:v>
                </c:pt>
              </c:numCache>
            </c:numRef>
          </c:xVal>
          <c:yVal>
            <c:numRef>
              <c:f>'Fit-Values'!$B$2:$B$151</c:f>
              <c:numCache>
                <c:formatCode>General</c:formatCode>
                <c:ptCount val="150"/>
                <c:pt idx="0">
                  <c:v>831.38339270230631</c:v>
                </c:pt>
                <c:pt idx="1">
                  <c:v>831.28291397966825</c:v>
                </c:pt>
                <c:pt idx="2">
                  <c:v>831.17587399565559</c:v>
                </c:pt>
                <c:pt idx="3">
                  <c:v>831.06189159414112</c:v>
                </c:pt>
                <c:pt idx="4">
                  <c:v>830.94057011277482</c:v>
                </c:pt>
                <c:pt idx="5">
                  <c:v>830.81149771842809</c:v>
                </c:pt>
                <c:pt idx="6">
                  <c:v>830.67424791912674</c:v>
                </c:pt>
                <c:pt idx="7">
                  <c:v>830.52838027587256</c:v>
                </c:pt>
                <c:pt idx="8">
                  <c:v>830.3734413388828</c:v>
                </c:pt>
                <c:pt idx="9">
                  <c:v>830.20896583421097</c:v>
                </c:pt>
                <c:pt idx="10">
                  <c:v>830.03447812686443</c:v>
                </c:pt>
                <c:pt idx="11">
                  <c:v>829.84949398720892</c:v>
                </c:pt>
                <c:pt idx="12">
                  <c:v>829.65352268683478</c:v>
                </c:pt>
                <c:pt idx="13">
                  <c:v>829.44606944926261</c:v>
                </c:pt>
                <c:pt idx="14">
                  <c:v>829.22663827881649</c:v>
                </c:pt>
                <c:pt idx="15">
                  <c:v>828.99473518847492</c:v>
                </c:pt>
                <c:pt idx="16">
                  <c:v>828.74987184344502</c:v>
                </c:pt>
                <c:pt idx="17">
                  <c:v>828.49156963219025</c:v>
                </c:pt>
                <c:pt idx="18">
                  <c:v>828.21936417015161</c:v>
                </c:pt>
                <c:pt idx="19">
                  <c:v>827.93281023350232</c:v>
                </c:pt>
                <c:pt idx="20">
                  <c:v>827.63148711089264</c:v>
                </c:pt>
                <c:pt idx="21">
                  <c:v>827.31500435004125</c:v>
                </c:pt>
                <c:pt idx="22">
                  <c:v>826.98300786373579</c:v>
                </c:pt>
                <c:pt idx="23">
                  <c:v>826.63518634582215</c:v>
                </c:pt>
                <c:pt idx="24">
                  <c:v>826.27127793280249</c:v>
                </c:pt>
                <c:pt idx="25">
                  <c:v>825.89107703082175</c:v>
                </c:pt>
                <c:pt idx="26">
                  <c:v>825.49444121136139</c:v>
                </c:pt>
                <c:pt idx="27">
                  <c:v>825.08129806285433</c:v>
                </c:pt>
                <c:pt idx="28">
                  <c:v>824.65165186980255</c:v>
                </c:pt>
                <c:pt idx="29">
                  <c:v>824.20558997693229</c:v>
                </c:pt>
                <c:pt idx="30">
                  <c:v>823.7432886841242</c:v>
                </c:pt>
                <c:pt idx="31">
                  <c:v>823.26501850924478</c:v>
                </c:pt>
                <c:pt idx="32">
                  <c:v>822.77114865132899</c:v>
                </c:pt>
                <c:pt idx="33">
                  <c:v>822.26215048691006</c:v>
                </c:pt>
                <c:pt idx="34">
                  <c:v>821.73859993806957</c:v>
                </c:pt>
                <c:pt idx="35">
                  <c:v>821.20117856283946</c:v>
                </c:pt>
                <c:pt idx="36">
                  <c:v>820.65067323708104</c:v>
                </c:pt>
                <c:pt idx="37">
                  <c:v>820.08797432203335</c:v>
                </c:pt>
                <c:pt idx="38">
                  <c:v>819.51407224298714</c:v>
                </c:pt>
                <c:pt idx="39">
                  <c:v>818.93005244139931</c:v>
                </c:pt>
                <c:pt idx="40">
                  <c:v>818.33708870415762</c:v>
                </c:pt>
                <c:pt idx="41">
                  <c:v>817.73643491816836</c:v>
                </c:pt>
                <c:pt idx="42">
                  <c:v>817.12941534441575</c:v>
                </c:pt>
                <c:pt idx="43">
                  <c:v>816.51741355098989</c:v>
                </c:pt>
                <c:pt idx="44">
                  <c:v>815.90186018751342</c:v>
                </c:pt>
                <c:pt idx="45">
                  <c:v>815.28421982158648</c:v>
                </c:pt>
                <c:pt idx="46">
                  <c:v>814.66597708972677</c:v>
                </c:pt>
                <c:pt idx="47">
                  <c:v>814.04862243886203</c:v>
                </c:pt>
                <c:pt idx="48">
                  <c:v>813.43363774879765</c:v>
                </c:pt>
                <c:pt idx="49">
                  <c:v>812.82248213020819</c:v>
                </c:pt>
                <c:pt idx="50">
                  <c:v>812.21657818657411</c:v>
                </c:pt>
                <c:pt idx="51">
                  <c:v>811.61729901229364</c:v>
                </c:pt>
                <c:pt idx="52">
                  <c:v>811.02595617386828</c:v>
                </c:pt>
                <c:pt idx="53">
                  <c:v>810.4437888878947</c:v>
                </c:pt>
                <c:pt idx="54">
                  <c:v>809.871954570311</c:v>
                </c:pt>
                <c:pt idx="55">
                  <c:v>809.31152088780254</c:v>
                </c:pt>
                <c:pt idx="56">
                  <c:v>808.76345939663736</c:v>
                </c:pt>
                <c:pt idx="57">
                  <c:v>808.22864080838383</c:v>
                </c:pt>
                <c:pt idx="58">
                  <c:v>807.70783187797974</c:v>
                </c:pt>
                <c:pt idx="59">
                  <c:v>807.20169386896828</c:v>
                </c:pt>
                <c:pt idx="60">
                  <c:v>806.71078251492145</c:v>
                </c:pt>
                <c:pt idx="61">
                  <c:v>806.23554936591233</c:v>
                </c:pt>
                <c:pt idx="62">
                  <c:v>805.776344385112</c:v>
                </c:pt>
                <c:pt idx="63">
                  <c:v>805.33341964334261</c:v>
                </c:pt>
                <c:pt idx="64">
                  <c:v>804.90693394860398</c:v>
                </c:pt>
                <c:pt idx="65">
                  <c:v>804.49695824288324</c:v>
                </c:pt>
                <c:pt idx="66">
                  <c:v>804.1034815992839</c:v>
                </c:pt>
                <c:pt idx="67">
                  <c:v>803.72641765796186</c:v>
                </c:pt>
                <c:pt idx="68">
                  <c:v>803.3656113486702</c:v>
                </c:pt>
                <c:pt idx="69">
                  <c:v>803.02084576001414</c:v>
                </c:pt>
                <c:pt idx="70">
                  <c:v>802.69184902992674</c:v>
                </c:pt>
                <c:pt idx="71">
                  <c:v>802.37830114759993</c:v>
                </c:pt>
                <c:pt idx="72">
                  <c:v>802.0798405734331</c:v>
                </c:pt>
                <c:pt idx="73">
                  <c:v>801.79607059982061</c:v>
                </c:pt>
                <c:pt idx="74">
                  <c:v>801.52656539136512</c:v>
                </c:pt>
                <c:pt idx="75">
                  <c:v>801.27087565790634</c:v>
                </c:pt>
                <c:pt idx="76">
                  <c:v>801.02853392734312</c:v>
                </c:pt>
                <c:pt idx="77">
                  <c:v>800.79905939740854</c:v>
                </c:pt>
                <c:pt idx="78">
                  <c:v>800.5819623562428</c:v>
                </c:pt>
                <c:pt idx="79">
                  <c:v>800.37674817073025</c:v>
                </c:pt>
                <c:pt idx="80">
                  <c:v>800.18292084920495</c:v>
                </c:pt>
                <c:pt idx="81">
                  <c:v>799.99998619130804</c:v>
                </c:pt>
                <c:pt idx="82">
                  <c:v>799.82745454264284</c:v>
                </c:pt>
                <c:pt idx="83">
                  <c:v>799.66484317551794</c:v>
                </c:pt>
                <c:pt idx="84">
                  <c:v>799.51167831965597</c:v>
                </c:pt>
                <c:pt idx="85">
                  <c:v>799.36749686840074</c:v>
                </c:pt>
                <c:pt idx="86">
                  <c:v>799.23184778679808</c:v>
                </c:pt>
                <c:pt idx="87">
                  <c:v>799.10429324817221</c:v>
                </c:pt>
                <c:pt idx="88">
                  <c:v>798.98440952545695</c:v>
                </c:pt>
                <c:pt idx="89">
                  <c:v>798.87178766281295</c:v>
                </c:pt>
                <c:pt idx="90">
                  <c:v>798.76603395200368</c:v>
                </c:pt>
                <c:pt idx="91">
                  <c:v>798.66677023667751</c:v>
                </c:pt>
                <c:pt idx="92">
                  <c:v>798.57363406626177</c:v>
                </c:pt>
                <c:pt idx="93">
                  <c:v>798.48627871959957</c:v>
                </c:pt>
                <c:pt idx="94">
                  <c:v>798.40437311686287</c:v>
                </c:pt>
                <c:pt idx="95">
                  <c:v>798.32760163664409</c:v>
                </c:pt>
                <c:pt idx="96">
                  <c:v>798.25566385356888</c:v>
                </c:pt>
                <c:pt idx="97">
                  <c:v>798.18827421020228</c:v>
                </c:pt>
                <c:pt idx="98">
                  <c:v>798.12516163558587</c:v>
                </c:pt>
                <c:pt idx="99">
                  <c:v>798.06606912134441</c:v>
                </c:pt>
                <c:pt idx="100">
                  <c:v>798.01075326501439</c:v>
                </c:pt>
                <c:pt idx="101">
                  <c:v>797.95898378905065</c:v>
                </c:pt>
                <c:pt idx="102">
                  <c:v>797.91054304287434</c:v>
                </c:pt>
                <c:pt idx="103">
                  <c:v>797.86522549431743</c:v>
                </c:pt>
                <c:pt idx="104">
                  <c:v>797.82283721591784</c:v>
                </c:pt>
                <c:pt idx="105">
                  <c:v>797.78319537070422</c:v>
                </c:pt>
                <c:pt idx="106">
                  <c:v>797.74612770137924</c:v>
                </c:pt>
                <c:pt idx="107">
                  <c:v>797.71147202614702</c:v>
                </c:pt>
                <c:pt idx="108">
                  <c:v>797.67907574388028</c:v>
                </c:pt>
                <c:pt idx="109">
                  <c:v>797.64879535079535</c:v>
                </c:pt>
                <c:pt idx="110">
                  <c:v>797.62049597035889</c:v>
                </c:pt>
                <c:pt idx="111">
                  <c:v>797.59405089778727</c:v>
                </c:pt>
                <c:pt idx="112">
                  <c:v>797.56934116013269</c:v>
                </c:pt>
                <c:pt idx="113">
                  <c:v>797.54625509267976</c:v>
                </c:pt>
                <c:pt idx="114">
                  <c:v>797.52468793213529</c:v>
                </c:pt>
                <c:pt idx="115">
                  <c:v>797.50454142686249</c:v>
                </c:pt>
                <c:pt idx="116">
                  <c:v>797.48572346425101</c:v>
                </c:pt>
                <c:pt idx="117">
                  <c:v>797.46814771517143</c:v>
                </c:pt>
                <c:pt idx="118">
                  <c:v>797.45173329530519</c:v>
                </c:pt>
                <c:pt idx="119">
                  <c:v>797.43640444309131</c:v>
                </c:pt>
                <c:pt idx="120">
                  <c:v>797.42209021390818</c:v>
                </c:pt>
                <c:pt idx="121">
                  <c:v>797.40872419005882</c:v>
                </c:pt>
                <c:pt idx="122">
                  <c:v>797.39624420608868</c:v>
                </c:pt>
                <c:pt idx="123">
                  <c:v>797.38459208890595</c:v>
                </c:pt>
                <c:pt idx="124">
                  <c:v>797.3737134121684</c:v>
                </c:pt>
                <c:pt idx="125">
                  <c:v>797.36355726436659</c:v>
                </c:pt>
                <c:pt idx="126">
                  <c:v>797.35407603003159</c:v>
                </c:pt>
                <c:pt idx="127">
                  <c:v>797.3452251834965</c:v>
                </c:pt>
                <c:pt idx="128">
                  <c:v>797.33696309461959</c:v>
                </c:pt>
                <c:pt idx="129">
                  <c:v>797.32925084592284</c:v>
                </c:pt>
                <c:pt idx="130">
                  <c:v>797.32205206055505</c:v>
                </c:pt>
                <c:pt idx="131">
                  <c:v>797.31533274056483</c:v>
                </c:pt>
                <c:pt idx="132">
                  <c:v>797.3090611149172</c:v>
                </c:pt>
                <c:pt idx="133">
                  <c:v>797.30320749676162</c:v>
                </c:pt>
                <c:pt idx="134">
                  <c:v>797.29774414943677</c:v>
                </c:pt>
                <c:pt idx="135">
                  <c:v>797.29264516073499</c:v>
                </c:pt>
                <c:pt idx="136">
                  <c:v>797.28788632496503</c:v>
                </c:pt>
                <c:pt idx="137">
                  <c:v>797.28344503236872</c:v>
                </c:pt>
                <c:pt idx="138">
                  <c:v>797.27930016546838</c:v>
                </c:pt>
                <c:pt idx="139">
                  <c:v>797.27543200194555</c:v>
                </c:pt>
                <c:pt idx="140">
                  <c:v>797.27182212365733</c:v>
                </c:pt>
                <c:pt idx="141">
                  <c:v>797.26845333143478</c:v>
                </c:pt>
                <c:pt idx="142">
                  <c:v>797.26530956531099</c:v>
                </c:pt>
                <c:pt idx="143">
                  <c:v>797.2623758298563</c:v>
                </c:pt>
                <c:pt idx="144">
                  <c:v>797.25963812429677</c:v>
                </c:pt>
                <c:pt idx="145">
                  <c:v>797.25708337713854</c:v>
                </c:pt>
                <c:pt idx="146">
                  <c:v>797.25469938500862</c:v>
                </c:pt>
                <c:pt idx="147">
                  <c:v>797.25247475545291</c:v>
                </c:pt>
                <c:pt idx="148">
                  <c:v>797.25039885344461</c:v>
                </c:pt>
                <c:pt idx="149">
                  <c:v>797.24846175137066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6F-4654-9CDB-034FC6201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scatterChart>
        <c:scatterStyle val="lineMarker"/>
        <c:varyColors val="0"/>
        <c:ser>
          <c:idx val="1"/>
          <c:order val="1"/>
          <c:tx>
            <c:v>Experiment 1 (#01)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D9659"/>
              </a:solidFill>
              <a:ln>
                <a:noFill/>
              </a:ln>
            </c:spPr>
          </c:marker>
          <c:xVal>
            <c:numRef>
              <c:f>RawData!A54:A69</c:f>
              <c:numCache>
                <c:formatCode>General</c:formatCode>
                <c:ptCount val="16"/>
                <c:pt idx="0">
                  <c:v>2.0000000000000001E-4</c:v>
                </c:pt>
                <c:pt idx="1">
                  <c:v>1E-4</c:v>
                </c:pt>
                <c:pt idx="2">
                  <c:v>5.0000000000000002E-5</c:v>
                </c:pt>
                <c:pt idx="3">
                  <c:v>2.5000000000000001E-5</c:v>
                </c:pt>
                <c:pt idx="4">
                  <c:v>1.2500000000000001E-5</c:v>
                </c:pt>
                <c:pt idx="5">
                  <c:v>6.2500000000000003E-6</c:v>
                </c:pt>
                <c:pt idx="6">
                  <c:v>3.1250000000000001E-6</c:v>
                </c:pt>
                <c:pt idx="7">
                  <c:v>1.5625000000000001E-6</c:v>
                </c:pt>
                <c:pt idx="8">
                  <c:v>7.8125000000000004E-7</c:v>
                </c:pt>
                <c:pt idx="9">
                  <c:v>3.9062500000000002E-7</c:v>
                </c:pt>
                <c:pt idx="10">
                  <c:v>1.9531250000000001E-7</c:v>
                </c:pt>
                <c:pt idx="11">
                  <c:v>9.7656250000000005E-8</c:v>
                </c:pt>
                <c:pt idx="12">
                  <c:v>4.8828125000000002E-8</c:v>
                </c:pt>
                <c:pt idx="13">
                  <c:v>2.4414061999999999E-8</c:v>
                </c:pt>
                <c:pt idx="14">
                  <c:v>1.2207031E-8</c:v>
                </c:pt>
                <c:pt idx="15">
                  <c:v>6.103516E-9</c:v>
                </c:pt>
              </c:numCache>
            </c:numRef>
          </c:xVal>
          <c:yVal>
            <c:numRef>
              <c:f>RawData!B54:B69</c:f>
              <c:numCache>
                <c:formatCode>General</c:formatCode>
                <c:ptCount val="16"/>
                <c:pt idx="0">
                  <c:v>825.04986624961396</c:v>
                </c:pt>
                <c:pt idx="1">
                  <c:v>828.96983313890405</c:v>
                </c:pt>
                <c:pt idx="2">
                  <c:v>829.72290403187606</c:v>
                </c:pt>
                <c:pt idx="3">
                  <c:v>831.72105509117398</c:v>
                </c:pt>
                <c:pt idx="4">
                  <c:v>825.94778489905798</c:v>
                </c:pt>
                <c:pt idx="5">
                  <c:v>810.22609246230695</c:v>
                </c:pt>
                <c:pt idx="6">
                  <c:v>799.41829256485403</c:v>
                </c:pt>
                <c:pt idx="7">
                  <c:v>799.18996180881197</c:v>
                </c:pt>
                <c:pt idx="8">
                  <c:v>797.30388828170999</c:v>
                </c:pt>
                <c:pt idx="9">
                  <c:v>798.42872796417498</c:v>
                </c:pt>
                <c:pt idx="10">
                  <c:v>798.84241372896201</c:v>
                </c:pt>
                <c:pt idx="11">
                  <c:v>799.40917646697005</c:v>
                </c:pt>
                <c:pt idx="12">
                  <c:v>797.52496781407206</c:v>
                </c:pt>
                <c:pt idx="13">
                  <c:v>798.44033437541896</c:v>
                </c:pt>
                <c:pt idx="14">
                  <c:v>800.54483031439304</c:v>
                </c:pt>
                <c:pt idx="15">
                  <c:v>799.31293783294996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6F-4654-9CDB-034FC6201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Ligand Concentration [M]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At val="793.86217160076399"/>
        <c:crossBetween val="midCat"/>
      </c:valAx>
      <c:valAx>
        <c:axId val="2"/>
        <c:scaling>
          <c:orientation val="minMax"/>
          <c:max val="835.162771772121"/>
          <c:min val="793.86217160076399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Fnorm [‰]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At val="-10000000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xdr:graphicFrame macro="">
      <xdr:nvGraphicFramePr>
        <xdr:cNvPr id="2" name="Dose Response 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topLeftCell="A34" workbookViewId="0">
      <selection activeCell="G63" sqref="G63"/>
    </sheetView>
  </sheetViews>
  <sheetFormatPr defaultRowHeight="15"/>
  <cols>
    <col min="1" max="1" width="23.42578125" customWidth="1"/>
    <col min="2" max="2" width="47" customWidth="1"/>
    <col min="3" max="3" width="11" customWidth="1"/>
  </cols>
  <sheetData>
    <row r="1" spans="1:3">
      <c r="A1" s="12" t="s">
        <v>0</v>
      </c>
      <c r="B1" s="12" t="s">
        <v>0</v>
      </c>
    </row>
    <row r="2" spans="1:3">
      <c r="A2" s="14" t="s">
        <v>1</v>
      </c>
      <c r="B2" s="14" t="s">
        <v>1</v>
      </c>
    </row>
    <row r="4" spans="1:3">
      <c r="A4" s="13" t="s">
        <v>2</v>
      </c>
      <c r="B4" s="13" t="s">
        <v>2</v>
      </c>
    </row>
    <row r="5" spans="1:3">
      <c r="A5" s="1" t="s">
        <v>3</v>
      </c>
      <c r="B5" s="2" t="s">
        <v>4</v>
      </c>
      <c r="C5" t="s">
        <v>5</v>
      </c>
    </row>
    <row r="6" spans="1:3">
      <c r="A6" s="1" t="s">
        <v>6</v>
      </c>
      <c r="B6" s="3" t="s">
        <v>4</v>
      </c>
      <c r="C6" t="s">
        <v>5</v>
      </c>
    </row>
    <row r="7" spans="1:3">
      <c r="A7" s="1" t="s">
        <v>7</v>
      </c>
      <c r="B7" s="2" t="s">
        <v>4</v>
      </c>
      <c r="C7" t="s">
        <v>5</v>
      </c>
    </row>
    <row r="8" spans="1:3">
      <c r="A8" s="1" t="s">
        <v>8</v>
      </c>
      <c r="B8" s="2" t="s">
        <v>9</v>
      </c>
      <c r="C8" t="s">
        <v>5</v>
      </c>
    </row>
    <row r="9" spans="1:3">
      <c r="A9" s="1" t="s">
        <v>10</v>
      </c>
      <c r="B9" s="2" t="s">
        <v>11</v>
      </c>
      <c r="C9" t="s">
        <v>5</v>
      </c>
    </row>
    <row r="10" spans="1:3">
      <c r="A10" s="1" t="s">
        <v>12</v>
      </c>
      <c r="B10" s="4">
        <v>45684.282055763899</v>
      </c>
      <c r="C10" t="s">
        <v>5</v>
      </c>
    </row>
    <row r="12" spans="1:3">
      <c r="A12" s="13" t="s">
        <v>13</v>
      </c>
      <c r="B12" s="13" t="s">
        <v>13</v>
      </c>
    </row>
    <row r="13" spans="1:3">
      <c r="A13" s="1" t="s">
        <v>14</v>
      </c>
      <c r="B13" s="2" t="s">
        <v>15</v>
      </c>
    </row>
    <row r="14" spans="1:3">
      <c r="A14" s="1" t="s">
        <v>16</v>
      </c>
      <c r="B14" s="2" t="s">
        <v>17</v>
      </c>
    </row>
    <row r="15" spans="1:3">
      <c r="A15" s="1" t="s">
        <v>18</v>
      </c>
      <c r="B15" s="5">
        <v>-1</v>
      </c>
    </row>
    <row r="16" spans="1:3">
      <c r="A16" s="1" t="s">
        <v>19</v>
      </c>
      <c r="B16" s="5">
        <v>0</v>
      </c>
    </row>
    <row r="17" spans="1:3">
      <c r="A17" s="1" t="s">
        <v>20</v>
      </c>
      <c r="B17" s="5">
        <v>4</v>
      </c>
    </row>
    <row r="18" spans="1:3">
      <c r="A18" s="1" t="s">
        <v>21</v>
      </c>
      <c r="B18" s="5">
        <v>5</v>
      </c>
    </row>
    <row r="20" spans="1:3">
      <c r="A20" s="13" t="s">
        <v>22</v>
      </c>
      <c r="B20" s="13" t="s">
        <v>22</v>
      </c>
    </row>
    <row r="21" spans="1:3">
      <c r="A21" s="1" t="s">
        <v>23</v>
      </c>
      <c r="B21" s="2" t="s">
        <v>24</v>
      </c>
      <c r="C21" t="s">
        <v>5</v>
      </c>
    </row>
    <row r="22" spans="1:3">
      <c r="A22" s="1" t="s">
        <v>25</v>
      </c>
      <c r="B22" s="2" t="s">
        <v>26</v>
      </c>
      <c r="C22" t="s">
        <v>5</v>
      </c>
    </row>
    <row r="23" spans="1:3">
      <c r="A23" s="1" t="s">
        <v>27</v>
      </c>
      <c r="B23" s="2" t="s">
        <v>28</v>
      </c>
      <c r="C23" t="s">
        <v>5</v>
      </c>
    </row>
    <row r="24" spans="1:3">
      <c r="A24" s="1" t="s">
        <v>29</v>
      </c>
      <c r="B24" s="2" t="s">
        <v>30</v>
      </c>
    </row>
    <row r="25" spans="1:3">
      <c r="A25" s="1" t="s">
        <v>31</v>
      </c>
      <c r="B25" s="2">
        <v>4.9999999999999998E-8</v>
      </c>
    </row>
    <row r="26" spans="1:3">
      <c r="A26" s="1" t="s">
        <v>32</v>
      </c>
      <c r="B26" s="2" t="s">
        <v>33</v>
      </c>
    </row>
    <row r="28" spans="1:3">
      <c r="A28" s="13" t="s">
        <v>34</v>
      </c>
      <c r="B28" s="13" t="s">
        <v>34</v>
      </c>
    </row>
    <row r="29" spans="1:3">
      <c r="A29" s="1" t="s">
        <v>35</v>
      </c>
      <c r="B29" s="2" t="s">
        <v>36</v>
      </c>
    </row>
    <row r="30" spans="1:3">
      <c r="A30" s="1" t="s">
        <v>37</v>
      </c>
      <c r="B30" s="6">
        <v>50</v>
      </c>
    </row>
    <row r="31" spans="1:3">
      <c r="A31" s="1" t="s">
        <v>38</v>
      </c>
      <c r="B31" s="2" t="s">
        <v>39</v>
      </c>
    </row>
    <row r="32" spans="1:3">
      <c r="A32" s="1" t="s">
        <v>40</v>
      </c>
      <c r="B32" s="7">
        <v>25</v>
      </c>
    </row>
    <row r="34" spans="1:2">
      <c r="A34" s="13" t="s">
        <v>41</v>
      </c>
      <c r="B34" s="13" t="s">
        <v>41</v>
      </c>
    </row>
    <row r="35" spans="1:2">
      <c r="A35" s="1" t="s">
        <v>42</v>
      </c>
      <c r="B35" s="2" t="s">
        <v>43</v>
      </c>
    </row>
    <row r="36" spans="1:2">
      <c r="A36" s="1" t="s">
        <v>44</v>
      </c>
      <c r="B36" s="2">
        <v>832.84724446691598</v>
      </c>
    </row>
    <row r="37" spans="1:2">
      <c r="A37" s="1" t="s">
        <v>45</v>
      </c>
      <c r="B37" s="2">
        <v>797.221450826705</v>
      </c>
    </row>
    <row r="38" spans="1:2">
      <c r="A38" s="1" t="s">
        <v>43</v>
      </c>
      <c r="B38" s="2">
        <v>7.9941068396515007E-6</v>
      </c>
    </row>
    <row r="39" spans="1:2">
      <c r="A39" s="1" t="s">
        <v>46</v>
      </c>
      <c r="B39" s="8">
        <v>4.9999999999999998E-8</v>
      </c>
    </row>
    <row r="40" spans="1:2">
      <c r="A40" s="1" t="s">
        <v>47</v>
      </c>
      <c r="B40" s="2">
        <v>4.50059353530074</v>
      </c>
    </row>
    <row r="41" spans="1:2">
      <c r="A41" s="1" t="s">
        <v>48</v>
      </c>
      <c r="B41" s="9">
        <v>3.3365034811595801E-6</v>
      </c>
    </row>
    <row r="43" spans="1:2">
      <c r="A43" s="13" t="s">
        <v>49</v>
      </c>
      <c r="B43" s="13" t="s">
        <v>49</v>
      </c>
    </row>
    <row r="44" spans="1:2">
      <c r="A44" s="1" t="s">
        <v>42</v>
      </c>
      <c r="B44" s="2" t="s">
        <v>50</v>
      </c>
    </row>
    <row r="45" spans="1:2">
      <c r="A45" s="1" t="s">
        <v>44</v>
      </c>
      <c r="B45" s="2">
        <v>828.79809252734799</v>
      </c>
    </row>
    <row r="46" spans="1:2">
      <c r="A46" s="1" t="s">
        <v>45</v>
      </c>
      <c r="B46" s="2">
        <v>798.74966051324895</v>
      </c>
    </row>
    <row r="47" spans="1:2">
      <c r="A47" s="1" t="s">
        <v>51</v>
      </c>
      <c r="B47" s="2">
        <v>4.2600258948178302</v>
      </c>
    </row>
    <row r="48" spans="1:2">
      <c r="A48" s="1" t="s">
        <v>52</v>
      </c>
      <c r="B48" s="2">
        <v>7.0251435502736997E-6</v>
      </c>
    </row>
    <row r="49" spans="1:3">
      <c r="A49" s="1" t="s">
        <v>47</v>
      </c>
      <c r="B49" s="2">
        <v>1.6464245830453099</v>
      </c>
    </row>
    <row r="50" spans="1:3">
      <c r="A50" s="1" t="s">
        <v>53</v>
      </c>
      <c r="B50" s="9">
        <v>4.2114018677952999E-7</v>
      </c>
    </row>
    <row r="52" spans="1:3">
      <c r="A52" s="13" t="s">
        <v>54</v>
      </c>
      <c r="B52" s="13" t="s">
        <v>54</v>
      </c>
      <c r="C52" s="13" t="s">
        <v>54</v>
      </c>
    </row>
    <row r="53" spans="1:3">
      <c r="A53" s="1" t="s">
        <v>55</v>
      </c>
      <c r="B53" s="10" t="s">
        <v>56</v>
      </c>
      <c r="C53" s="10" t="s">
        <v>57</v>
      </c>
    </row>
    <row r="54" spans="1:3">
      <c r="A54" s="11">
        <v>2.0000000000000001E-4</v>
      </c>
      <c r="B54" s="2">
        <v>825.04986624961396</v>
      </c>
      <c r="C54" s="2">
        <v>0</v>
      </c>
    </row>
    <row r="55" spans="1:3">
      <c r="A55" s="11">
        <v>1E-4</v>
      </c>
      <c r="B55" s="2">
        <v>828.96983313890405</v>
      </c>
      <c r="C55" s="2">
        <v>0</v>
      </c>
    </row>
    <row r="56" spans="1:3">
      <c r="A56" s="11">
        <v>5.0000000000000002E-5</v>
      </c>
      <c r="B56" s="2">
        <v>829.72290403187606</v>
      </c>
      <c r="C56" s="2">
        <v>0</v>
      </c>
    </row>
    <row r="57" spans="1:3">
      <c r="A57" s="11">
        <v>2.5000000000000001E-5</v>
      </c>
      <c r="B57" s="2">
        <v>831.72105509117398</v>
      </c>
      <c r="C57" s="2">
        <v>0</v>
      </c>
    </row>
    <row r="58" spans="1:3">
      <c r="A58" s="11">
        <v>1.2500000000000001E-5</v>
      </c>
      <c r="B58" s="2">
        <v>825.94778489905798</v>
      </c>
      <c r="C58" s="2">
        <v>0</v>
      </c>
    </row>
    <row r="59" spans="1:3">
      <c r="A59" s="11">
        <v>6.2500000000000003E-6</v>
      </c>
      <c r="B59" s="2">
        <v>810.22609246230695</v>
      </c>
      <c r="C59" s="2">
        <v>0</v>
      </c>
    </row>
    <row r="60" spans="1:3">
      <c r="A60" s="11">
        <v>3.1250000000000001E-6</v>
      </c>
      <c r="B60" s="2">
        <v>799.41829256485403</v>
      </c>
      <c r="C60" s="2">
        <v>0</v>
      </c>
    </row>
    <row r="61" spans="1:3">
      <c r="A61" s="11">
        <v>1.5625000000000001E-6</v>
      </c>
      <c r="B61" s="2">
        <v>799.18996180881197</v>
      </c>
      <c r="C61" s="2">
        <v>0</v>
      </c>
    </row>
    <row r="62" spans="1:3">
      <c r="A62" s="11">
        <v>7.8125000000000004E-7</v>
      </c>
      <c r="B62" s="2">
        <v>797.30388828170999</v>
      </c>
      <c r="C62" s="2">
        <v>0</v>
      </c>
    </row>
    <row r="63" spans="1:3">
      <c r="A63" s="11">
        <v>3.9062500000000002E-7</v>
      </c>
      <c r="B63" s="2">
        <v>798.42872796417498</v>
      </c>
      <c r="C63" s="2">
        <v>0</v>
      </c>
    </row>
    <row r="64" spans="1:3">
      <c r="A64" s="11">
        <v>1.9531250000000001E-7</v>
      </c>
      <c r="B64" s="2">
        <v>798.84241372896201</v>
      </c>
      <c r="C64" s="2">
        <v>0</v>
      </c>
    </row>
    <row r="65" spans="1:3">
      <c r="A65" s="11">
        <v>9.7656250000000005E-8</v>
      </c>
      <c r="B65" s="2">
        <v>799.40917646697005</v>
      </c>
      <c r="C65" s="2">
        <v>0</v>
      </c>
    </row>
    <row r="66" spans="1:3">
      <c r="A66" s="11">
        <v>4.8828125000000002E-8</v>
      </c>
      <c r="B66" s="2">
        <v>797.52496781407206</v>
      </c>
      <c r="C66" s="2">
        <v>0</v>
      </c>
    </row>
    <row r="67" spans="1:3">
      <c r="A67" s="11">
        <v>2.4414061999999999E-8</v>
      </c>
      <c r="B67" s="2">
        <v>798.44033437541896</v>
      </c>
      <c r="C67" s="2">
        <v>0</v>
      </c>
    </row>
    <row r="68" spans="1:3">
      <c r="A68" s="11">
        <v>1.2207031E-8</v>
      </c>
      <c r="B68" s="2">
        <v>800.54483031439304</v>
      </c>
      <c r="C68" s="2">
        <v>0</v>
      </c>
    </row>
    <row r="69" spans="1:3">
      <c r="A69" s="11">
        <v>6.103516E-9</v>
      </c>
      <c r="B69" s="2">
        <v>799.31293783294996</v>
      </c>
      <c r="C69" s="2">
        <v>0</v>
      </c>
    </row>
  </sheetData>
  <mergeCells count="9">
    <mergeCell ref="A28:B28"/>
    <mergeCell ref="A34:B34"/>
    <mergeCell ref="A43:B43"/>
    <mergeCell ref="A52:C52"/>
    <mergeCell ref="A1:B1"/>
    <mergeCell ref="A2:B2"/>
    <mergeCell ref="A4:B4"/>
    <mergeCell ref="A12:B12"/>
    <mergeCell ref="A20:B20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1"/>
  <sheetViews>
    <sheetView workbookViewId="0"/>
  </sheetViews>
  <sheetFormatPr defaultRowHeight="15"/>
  <sheetData>
    <row r="1" spans="1:3">
      <c r="A1" t="s">
        <v>58</v>
      </c>
      <c r="B1" t="s">
        <v>59</v>
      </c>
      <c r="C1" t="s">
        <v>59</v>
      </c>
    </row>
    <row r="2" spans="1:3">
      <c r="A2">
        <v>1.8660659838379601E-4</v>
      </c>
      <c r="B2">
        <f>((RawData!B36-RawData!B37)*(RawData!B39+A2+RawData!B38-SQRT(POWER(RawData!B39+A2+RawData!B38,2)-(4*RawData!B39*A2)))/(2*RawData!B39))+RawData!B37</f>
        <v>831.38339270230631</v>
      </c>
      <c r="C2">
        <f>RawData!B46 + ((RawData!B45 - RawData!B46) * (1 / (1 + (POWER(RawData!B48 / A2, RawData!B47)))))</f>
        <v>828.7980668004916</v>
      </c>
    </row>
    <row r="3" spans="1:3">
      <c r="A3">
        <v>1.7411011280185599E-4</v>
      </c>
      <c r="B3">
        <f>((RawData!B36-RawData!B37)*(RawData!B39+A3+RawData!B38-SQRT(POWER(RawData!B39+A3+RawData!B38,2)-(4*RawData!B39*A3)))/(2*RawData!B39))+RawData!B37</f>
        <v>831.28291397966825</v>
      </c>
      <c r="C3">
        <f>RawData!B46 + ((RawData!B45 - RawData!B46) * (1 / (1 + (POWER(RawData!B48 / A3, RawData!B47)))))</f>
        <v>828.79805796317646</v>
      </c>
    </row>
    <row r="4" spans="1:3">
      <c r="A4">
        <v>1.62450479470866E-4</v>
      </c>
      <c r="B4">
        <f>((RawData!B36-RawData!B37)*(RawData!B39+A4+RawData!B38-SQRT(POWER(RawData!B39+A4+RawData!B38,2)-(4*RawData!B39*A4)))/(2*RawData!B39))+RawData!B37</f>
        <v>831.17587399565559</v>
      </c>
      <c r="C4">
        <f>RawData!B46 + ((RawData!B45 - RawData!B46) * (1 / (1 + (POWER(RawData!B48 / A4, RawData!B47)))))</f>
        <v>828.79804609020027</v>
      </c>
    </row>
    <row r="5" spans="1:3">
      <c r="A5">
        <v>1.5157165689937501E-4</v>
      </c>
      <c r="B5">
        <f>((RawData!B36-RawData!B37)*(RawData!B39+A5+RawData!B38-SQRT(POWER(RawData!B39+A5+RawData!B38,2)-(4*RawData!B39*A5)))/(2*RawData!B39))+RawData!B37</f>
        <v>831.06189159414112</v>
      </c>
      <c r="C5">
        <f>RawData!B46 + ((RawData!B45 - RawData!B46) * (1 / (1 + (POWER(RawData!B48 / A5, RawData!B47)))))</f>
        <v>828.79803013880223</v>
      </c>
    </row>
    <row r="6" spans="1:3">
      <c r="A6">
        <v>1.4142135652694E-4</v>
      </c>
      <c r="B6">
        <f>((RawData!B36-RawData!B37)*(RawData!B39+A6+RawData!B38-SQRT(POWER(RawData!B39+A6+RawData!B38,2)-(4*RawData!B39*A6)))/(2*RawData!B39))+RawData!B37</f>
        <v>830.94057011277482</v>
      </c>
      <c r="C6">
        <f>RawData!B46 + ((RawData!B45 - RawData!B46) * (1 / (1 + (POWER(RawData!B48 / A6, RawData!B47)))))</f>
        <v>828.79800870803251</v>
      </c>
    </row>
    <row r="7" spans="1:3">
      <c r="A7">
        <v>1.31950791401572E-4</v>
      </c>
      <c r="B7">
        <f>((RawData!B36-RawData!B37)*(RawData!B39+A7+RawData!B38-SQRT(POWER(RawData!B39+A7+RawData!B38,2)-(4*RawData!B39*A7)))/(2*RawData!B39))+RawData!B37</f>
        <v>830.81149771842809</v>
      </c>
      <c r="C7">
        <f>RawData!B46 + ((RawData!B45 - RawData!B46) * (1 / (1 + (POWER(RawData!B48 / A7, RawData!B47)))))</f>
        <v>828.7979799157165</v>
      </c>
    </row>
    <row r="8" spans="1:3">
      <c r="A8">
        <v>1.2311444168748499E-4</v>
      </c>
      <c r="B8">
        <f>((RawData!B36-RawData!B37)*(RawData!B39+A8+RawData!B38-SQRT(POWER(RawData!B39+A8+RawData!B38,2)-(4*RawData!B39*A8)))/(2*RawData!B39))+RawData!B37</f>
        <v>830.67424791912674</v>
      </c>
      <c r="C8">
        <f>RawData!B46 + ((RawData!B45 - RawData!B46) * (1 / (1 + (POWER(RawData!B48 / A8, RawData!B47)))))</f>
        <v>828.79794123315867</v>
      </c>
    </row>
    <row r="9" spans="1:3">
      <c r="A9">
        <v>1.14869835876109E-4</v>
      </c>
      <c r="B9">
        <f>((RawData!B36-RawData!B37)*(RawData!B39+A9+RawData!B38-SQRT(POWER(RawData!B39+A9+RawData!B38,2)-(4*RawData!B39*A9)))/(2*RawData!B39))+RawData!B37</f>
        <v>830.52838027587256</v>
      </c>
      <c r="C9">
        <f>RawData!B46 + ((RawData!B45 - RawData!B46) * (1 / (1 + (POWER(RawData!B48 / A9, RawData!B47)))))</f>
        <v>828.79788926307344</v>
      </c>
    </row>
    <row r="10" spans="1:3">
      <c r="A10">
        <v>1.07177346648728E-4</v>
      </c>
      <c r="B10">
        <f>((RawData!B36-RawData!B37)*(RawData!B39+A10+RawData!B38-SQRT(POWER(RawData!B39+A10+RawData!B38,2)-(4*RawData!B39*A10)))/(2*RawData!B39))+RawData!B37</f>
        <v>830.3734413388828</v>
      </c>
      <c r="C10">
        <f>RawData!B46 + ((RawData!B45 - RawData!B46) * (1 / (1 + (POWER(RawData!B48 / A10, RawData!B47)))))</f>
        <v>828.79781944124375</v>
      </c>
    </row>
    <row r="11" spans="1:3">
      <c r="A11">
        <v>1.000000004096E-4</v>
      </c>
      <c r="B11">
        <f>((RawData!B36-RawData!B37)*(RawData!B39+A11+RawData!B38-SQRT(POWER(RawData!B39+A11+RawData!B38,2)-(4*RawData!B39*A11)))/(2*RawData!B39))+RawData!B37</f>
        <v>830.20896583421097</v>
      </c>
      <c r="C11">
        <f>RawData!B46 + ((RawData!B45 - RawData!B46) * (1 / (1 + (POWER(RawData!B48 / A11, RawData!B47)))))</f>
        <v>828.79772563571885</v>
      </c>
    </row>
    <row r="12" spans="1:3">
      <c r="A12">
        <v>9.3303299574068105E-5</v>
      </c>
      <c r="B12">
        <f>((RawData!B36-RawData!B37)*(RawData!B39+A12+RawData!B38-SQRT(POWER(RawData!B39+A12+RawData!B38,2)-(4*RawData!B39*A12)))/(2*RawData!B39))+RawData!B37</f>
        <v>830.03447812686443</v>
      </c>
      <c r="C12">
        <f>RawData!B46 + ((RawData!B45 - RawData!B46) * (1 / (1 + (POWER(RawData!B48 / A12, RawData!B47)))))</f>
        <v>828.79759960837089</v>
      </c>
    </row>
    <row r="13" spans="1:3">
      <c r="A13">
        <v>8.7055056757505406E-5</v>
      </c>
      <c r="B13">
        <f>((RawData!B36-RawData!B37)*(RawData!B39+A13+RawData!B38-SQRT(POWER(RawData!B39+A13+RawData!B38,2)-(4*RawData!B39*A13)))/(2*RawData!B39))+RawData!B37</f>
        <v>829.84949398720892</v>
      </c>
      <c r="C13">
        <f>RawData!B46 + ((RawData!B45 - RawData!B46) * (1 / (1 + (POWER(RawData!B48 / A13, RawData!B47)))))</f>
        <v>828.79743029155782</v>
      </c>
    </row>
    <row r="14" spans="1:3">
      <c r="A14">
        <v>8.1225240068131697E-5</v>
      </c>
      <c r="B14">
        <f>((RawData!B36-RawData!B37)*(RawData!B39+A14+RawData!B38-SQRT(POWER(RawData!B39+A14+RawData!B38,2)-(4*RawData!B39*A14)))/(2*RawData!B39))+RawData!B37</f>
        <v>829.65352268683478</v>
      </c>
      <c r="C14">
        <f>RawData!B46 + ((RawData!B45 - RawData!B46) * (1 / (1 + (POWER(RawData!B48 / A14, RawData!B47)))))</f>
        <v>828.79720281643552</v>
      </c>
    </row>
    <row r="15" spans="1:3">
      <c r="A15">
        <v>7.5785828760106095E-5</v>
      </c>
      <c r="B15">
        <f>((RawData!B36-RawData!B37)*(RawData!B39+A15+RawData!B38-SQRT(POWER(RawData!B39+A15+RawData!B38,2)-(4*RawData!B39*A15)))/(2*RawData!B39))+RawData!B37</f>
        <v>829.44606944926261</v>
      </c>
      <c r="C15">
        <f>RawData!B46 + ((RawData!B45 - RawData!B46) * (1 / (1 + (POWER(RawData!B48 / A15, RawData!B47)))))</f>
        <v>828.7968972077033</v>
      </c>
    </row>
    <row r="16" spans="1:3">
      <c r="A16">
        <v>7.0710678553101097E-5</v>
      </c>
      <c r="B16">
        <f>((RawData!B36-RawData!B37)*(RawData!B39+A16+RawData!B38-SQRT(POWER(RawData!B39+A16+RawData!B38,2)-(4*RawData!B39*A16)))/(2*RawData!B39))+RawData!B37</f>
        <v>829.22663827881649</v>
      </c>
      <c r="C16">
        <f>RawData!B46 + ((RawData!B45 - RawData!B46) * (1 / (1 + (POWER(RawData!B48 / A16, RawData!B47)))))</f>
        <v>828.79648663037472</v>
      </c>
    </row>
    <row r="17" spans="1:3">
      <c r="A17">
        <v>6.5975395971021005E-5</v>
      </c>
      <c r="B17">
        <f>((RawData!B36-RawData!B37)*(RawData!B39+A17+RawData!B38-SQRT(POWER(RawData!B39+A17+RawData!B38,2)-(4*RawData!B39*A17)))/(2*RawData!B39))+RawData!B37</f>
        <v>828.99473518847492</v>
      </c>
      <c r="C17">
        <f>RawData!B46 + ((RawData!B45 - RawData!B46) * (1 / (1 + (POWER(RawData!B48 / A17, RawData!B47)))))</f>
        <v>828.79593503500189</v>
      </c>
    </row>
    <row r="18" spans="1:3">
      <c r="A18">
        <v>6.1557221095881004E-5</v>
      </c>
      <c r="B18">
        <f>((RawData!B36-RawData!B37)*(RawData!B39+A18+RawData!B38-SQRT(POWER(RawData!B39+A18+RawData!B38,2)-(4*RawData!B39*A18)))/(2*RawData!B39))+RawData!B37</f>
        <v>828.74987184344502</v>
      </c>
      <c r="C18">
        <f>RawData!B46 + ((RawData!B45 - RawData!B46) * (1 / (1 + (POWER(RawData!B48 / A18, RawData!B47)))))</f>
        <v>828.79519399528158</v>
      </c>
    </row>
    <row r="19" spans="1:3">
      <c r="A19">
        <v>5.7434918173307898E-5</v>
      </c>
      <c r="B19">
        <f>((RawData!B36-RawData!B37)*(RawData!B39+A19+RawData!B38-SQRT(POWER(RawData!B39+A19+RawData!B38,2)-(4*RawData!B39*A19)))/(2*RawData!B39))+RawData!B37</f>
        <v>828.49156963219025</v>
      </c>
      <c r="C19">
        <f>RawData!B46 + ((RawData!B45 - RawData!B46) * (1 / (1 + (POWER(RawData!B48 / A19, RawData!B47)))))</f>
        <v>828.79419846163523</v>
      </c>
    </row>
    <row r="20" spans="1:3">
      <c r="A20">
        <v>5.3588673543863101E-5</v>
      </c>
      <c r="B20">
        <f>((RawData!B36-RawData!B37)*(RawData!B39+A20+RawData!B38-SQRT(POWER(RawData!B39+A20+RawData!B38,2)-(4*RawData!B39*A20)))/(2*RawData!B39))+RawData!B37</f>
        <v>828.21936417015161</v>
      </c>
      <c r="C20">
        <f>RawData!B46 + ((RawData!B45 - RawData!B46) * (1 / (1 + (POWER(RawData!B48 / A20, RawData!B47)))))</f>
        <v>828.79286106022539</v>
      </c>
    </row>
    <row r="21" spans="1:3">
      <c r="A21">
        <v>5.0000000409600003E-5</v>
      </c>
      <c r="B21">
        <f>((RawData!B36-RawData!B37)*(RawData!B39+A21+RawData!B38-SQRT(POWER(RawData!B39+A21+RawData!B38,2)-(4*RawData!B39*A21)))/(2*RawData!B39))+RawData!B37</f>
        <v>827.93281023350232</v>
      </c>
      <c r="C21">
        <f>RawData!B46 + ((RawData!B45 - RawData!B46) * (1 / (1 + (POWER(RawData!B48 / A21, RawData!B47)))))</f>
        <v>828.79106444105707</v>
      </c>
    </row>
    <row r="22" spans="1:3">
      <c r="A22">
        <v>4.6651649978119197E-5</v>
      </c>
      <c r="B22">
        <f>((RawData!B36-RawData!B37)*(RawData!B39+A22+RawData!B38-SQRT(POWER(RawData!B39+A22+RawData!B38,2)-(4*RawData!B39*A22)))/(2*RawData!B39))+RawData!B37</f>
        <v>827.63148711089264</v>
      </c>
      <c r="C22">
        <f>RawData!B46 + ((RawData!B45 - RawData!B46) * (1 / (1 + (POWER(RawData!B48 / A22, RawData!B47)))))</f>
        <v>828.78865101097063</v>
      </c>
    </row>
    <row r="23" spans="1:3">
      <c r="A23">
        <v>4.3527528557041402E-5</v>
      </c>
      <c r="B23">
        <f>((RawData!B36-RawData!B37)*(RawData!B39+A23+RawData!B38-SQRT(POWER(RawData!B39+A23+RawData!B38,2)-(4*RawData!B39*A23)))/(2*RawData!B39))+RawData!B37</f>
        <v>827.31500435004125</v>
      </c>
      <c r="C23">
        <f>RawData!B46 + ((RawData!B45 - RawData!B46) * (1 / (1 + (POWER(RawData!B48 / A23, RawData!B47)))))</f>
        <v>828.78540916395832</v>
      </c>
    </row>
    <row r="24" spans="1:3">
      <c r="A24">
        <v>4.0612620200415103E-5</v>
      </c>
      <c r="B24">
        <f>((RawData!B36-RawData!B37)*(RawData!B39+A24+RawData!B38-SQRT(POWER(RawData!B39+A24+RawData!B38,2)-(4*RawData!B39*A24)))/(2*RawData!B39))+RawData!B37</f>
        <v>826.98300786373579</v>
      </c>
      <c r="C24">
        <f>RawData!B46 + ((RawData!B45 - RawData!B46) * (1 / (1 + (POWER(RawData!B48 / A24, RawData!B47)))))</f>
        <v>828.78105482497472</v>
      </c>
    </row>
    <row r="25" spans="1:3">
      <c r="A25">
        <v>3.7892914535262402E-5</v>
      </c>
      <c r="B25">
        <f>((RawData!B36-RawData!B37)*(RawData!B39+A25+RawData!B38-SQRT(POWER(RawData!B39+A25+RawData!B38,2)-(4*RawData!B39*A25)))/(2*RawData!B39))+RawData!B37</f>
        <v>826.63518634582215</v>
      </c>
      <c r="C25">
        <f>RawData!B46 + ((RawData!B45 - RawData!B46) * (1 / (1 + (POWER(RawData!B48 / A25, RawData!B47)))))</f>
        <v>828.77520673227673</v>
      </c>
    </row>
    <row r="26" spans="1:3">
      <c r="A26">
        <v>3.5355339421366003E-5</v>
      </c>
      <c r="B26">
        <f>((RawData!B36-RawData!B37)*(RawData!B39+A26+RawData!B38-SQRT(POWER(RawData!B39+A26+RawData!B38,2)-(4*RawData!B39*A26)))/(2*RawData!B39))+RawData!B37</f>
        <v>826.27127793280249</v>
      </c>
      <c r="C26">
        <f>RawData!B46 + ((RawData!B45 - RawData!B46) * (1 / (1 + (POWER(RawData!B48 / A26, RawData!B47)))))</f>
        <v>828.76735337024991</v>
      </c>
    </row>
    <row r="27" spans="1:3">
      <c r="A27">
        <v>3.29876981206281E-5</v>
      </c>
      <c r="B27">
        <f>((RawData!B36-RawData!B37)*(RawData!B39+A27+RawData!B38-SQRT(POWER(RawData!B39+A27+RawData!B38,2)-(4*RawData!B39*A27)))/(2*RawData!B39))+RawData!B37</f>
        <v>825.89107703082175</v>
      </c>
      <c r="C27">
        <f>RawData!B46 + ((RawData!B45 - RawData!B46) * (1 / (1 + (POWER(RawData!B48 / A27, RawData!B47)))))</f>
        <v>828.75680879761546</v>
      </c>
    </row>
    <row r="28" spans="1:3">
      <c r="A28">
        <v>3.0778610674009701E-5</v>
      </c>
      <c r="B28">
        <f>((RawData!B36-RawData!B37)*(RawData!B39+A28+RawData!B38-SQRT(POWER(RawData!B39+A28+RawData!B38,2)-(4*RawData!B39*A28)))/(2*RawData!B39))+RawData!B37</f>
        <v>825.49444121136139</v>
      </c>
      <c r="C28">
        <f>RawData!B46 + ((RawData!B45 - RawData!B46) * (1 / (1 + (POWER(RawData!B48 / A28, RawData!B47)))))</f>
        <v>828.74265375960874</v>
      </c>
    </row>
    <row r="29" spans="1:3">
      <c r="A29">
        <v>2.8717459204280601E-5</v>
      </c>
      <c r="B29">
        <f>((RawData!B36-RawData!B37)*(RawData!B39+A29+RawData!B38-SQRT(POWER(RawData!B39+A29+RawData!B38,2)-(4*RawData!B39*A29)))/(2*RawData!B39))+RawData!B37</f>
        <v>825.08129806285433</v>
      </c>
      <c r="C29">
        <f>RawData!B46 + ((RawData!B45 - RawData!B46) * (1 / (1 + (POWER(RawData!B48 / A29, RawData!B47)))))</f>
        <v>828.72365739353904</v>
      </c>
    </row>
    <row r="30" spans="1:3">
      <c r="A30">
        <v>2.67943368816812E-5</v>
      </c>
      <c r="B30">
        <f>((RawData!B36-RawData!B37)*(RawData!B39+A30+RawData!B38-SQRT(POWER(RawData!B39+A30+RawData!B38,2)-(4*RawData!B39*A30)))/(2*RawData!B39))+RawData!B37</f>
        <v>824.65165186980255</v>
      </c>
      <c r="C30">
        <f>RawData!B46 + ((RawData!B45 - RawData!B46) * (1 / (1 + (POWER(RawData!B48 / A30, RawData!B47)))))</f>
        <v>828.69817351414918</v>
      </c>
    </row>
    <row r="31" spans="1:3">
      <c r="A31">
        <v>2.50000003072E-5</v>
      </c>
      <c r="B31">
        <f>((RawData!B36-RawData!B37)*(RawData!B39+A31+RawData!B38-SQRT(POWER(RawData!B39+A31+RawData!B38,2)-(4*RawData!B39*A31)))/(2*RawData!B39))+RawData!B37</f>
        <v>824.20558997693229</v>
      </c>
      <c r="C31">
        <f>RawData!B46 + ((RawData!B45 - RawData!B46) * (1 / (1 + (POWER(RawData!B48 / A31, RawData!B47)))))</f>
        <v>828.66400391256968</v>
      </c>
    </row>
    <row r="32" spans="1:3">
      <c r="A32">
        <v>2.3325825084602201E-5</v>
      </c>
      <c r="B32">
        <f>((RawData!B36-RawData!B37)*(RawData!B39+A32+RawData!B38-SQRT(POWER(RawData!B39+A32+RawData!B38,2)-(4*RawData!B39*A32)))/(2*RawData!B39))+RawData!B37</f>
        <v>823.7432886841242</v>
      </c>
      <c r="C32">
        <f>RawData!B46 + ((RawData!B45 - RawData!B46) * (1 / (1 + (POWER(RawData!B48 / A32, RawData!B47)))))</f>
        <v>828.61821941240282</v>
      </c>
    </row>
    <row r="33" spans="1:3">
      <c r="A33">
        <v>2.1763764367665101E-5</v>
      </c>
      <c r="B33">
        <f>((RawData!B36-RawData!B37)*(RawData!B39+A33+RawData!B38-SQRT(POWER(RawData!B39+A33+RawData!B38,2)-(4*RawData!B39*A33)))/(2*RawData!B39))+RawData!B37</f>
        <v>823.26501850924478</v>
      </c>
      <c r="C33">
        <f>RawData!B46 + ((RawData!B45 - RawData!B46) * (1 / (1 + (POWER(RawData!B48 / A33, RawData!B47)))))</f>
        <v>828.55692784578707</v>
      </c>
    </row>
    <row r="34" spans="1:3">
      <c r="A34">
        <v>2.0306310183382199E-5</v>
      </c>
      <c r="B34">
        <f>((RawData!B36-RawData!B37)*(RawData!B39+A34+RawData!B38-SQRT(POWER(RawData!B39+A34+RawData!B38,2)-(4*RawData!B39*A34)))/(2*RawData!B39))+RawData!B37</f>
        <v>822.77114865132899</v>
      </c>
      <c r="C34">
        <f>RawData!B46 + ((RawData!B45 - RawData!B46) * (1 / (1 + (POWER(RawData!B48 / A34, RawData!B47)))))</f>
        <v>828.47497717747399</v>
      </c>
    </row>
    <row r="35" spans="1:3">
      <c r="A35">
        <v>1.8946457345235899E-5</v>
      </c>
      <c r="B35">
        <f>((RawData!B36-RawData!B37)*(RawData!B39+A35+RawData!B38-SQRT(POWER(RawData!B39+A35+RawData!B38,2)-(4*RawData!B39*A35)))/(2*RawData!B39))+RawData!B37</f>
        <v>822.26215048691006</v>
      </c>
      <c r="C35">
        <f>RawData!B46 + ((RawData!B45 - RawData!B46) * (1 / (1 + (POWER(RawData!B48 / A35, RawData!B47)))))</f>
        <v>828.36558276123276</v>
      </c>
    </row>
    <row r="36" spans="1:3">
      <c r="A36">
        <v>1.7677669783090701E-5</v>
      </c>
      <c r="B36">
        <f>((RawData!B36-RawData!B37)*(RawData!B39+A36+RawData!B38-SQRT(POWER(RawData!B39+A36+RawData!B38,2)-(4*RawData!B39*A36)))/(2*RawData!B39))+RawData!B37</f>
        <v>821.73859993806957</v>
      </c>
      <c r="C36">
        <f>RawData!B46 + ((RawData!B45 - RawData!B46) * (1 / (1 + (POWER(RawData!B48 / A36, RawData!B47)))))</f>
        <v>828.2198720508909</v>
      </c>
    </row>
    <row r="37" spans="1:3">
      <c r="A37">
        <v>1.64938491278729E-5</v>
      </c>
      <c r="B37">
        <f>((RawData!B36-RawData!B37)*(RawData!B39+A37+RawData!B38-SQRT(POWER(RawData!B39+A37+RawData!B38,2)-(4*RawData!B39*A37)))/(2*RawData!B39))+RawData!B37</f>
        <v>821.20117856283946</v>
      </c>
      <c r="C37">
        <f>RawData!B46 + ((RawData!B45 - RawData!B46) * (1 / (1 + (POWER(RawData!B48 / A37, RawData!B47)))))</f>
        <v>828.02635120420371</v>
      </c>
    </row>
    <row r="38" spans="1:3">
      <c r="A38">
        <v>1.5389305400039399E-5</v>
      </c>
      <c r="B38">
        <f>((RawData!B36-RawData!B37)*(RawData!B39+A38+RawData!B38-SQRT(POWER(RawData!B39+A38+RawData!B38,2)-(4*RawData!B39*A38)))/(2*RawData!B39))+RawData!B37</f>
        <v>820.65067323708104</v>
      </c>
      <c r="C38">
        <f>RawData!B46 + ((RawData!B45 - RawData!B46) * (1 / (1 + (POWER(RawData!B48 / A38, RawData!B47)))))</f>
        <v>827.77032091295621</v>
      </c>
    </row>
    <row r="39" spans="1:3">
      <c r="A39">
        <v>1.43587296609537E-5</v>
      </c>
      <c r="B39">
        <f>((RawData!B36-RawData!B37)*(RawData!B39+A39+RawData!B38-SQRT(POWER(RawData!B39+A39+RawData!B38,2)-(4*RawData!B39*A39)))/(2*RawData!B39))+RawData!B37</f>
        <v>820.08797432203335</v>
      </c>
      <c r="C39">
        <f>RawData!B46 + ((RawData!B45 - RawData!B46) * (1 / (1 + (POWER(RawData!B48 / A39, RawData!B47)))))</f>
        <v>827.43331048681603</v>
      </c>
    </row>
    <row r="40" spans="1:3">
      <c r="A40">
        <v>1.3397168495715401E-5</v>
      </c>
      <c r="B40">
        <f>((RawData!B36-RawData!B37)*(RawData!B39+A40+RawData!B38-SQRT(POWER(RawData!B39+A40+RawData!B38,2)-(4*RawData!B39*A40)))/(2*RawData!B39))+RawData!B37</f>
        <v>819.51407224298714</v>
      </c>
      <c r="C40">
        <f>RawData!B46 + ((RawData!B45 - RawData!B46) * (1 / (1 + (POWER(RawData!B48 / A40, RawData!B47)))))</f>
        <v>826.99266782587586</v>
      </c>
    </row>
    <row r="41" spans="1:3">
      <c r="A41">
        <v>1.2500000204800001E-5</v>
      </c>
      <c r="B41">
        <f>((RawData!B36-RawData!B37)*(RawData!B39+A41+RawData!B38-SQRT(POWER(RawData!B39+A41+RawData!B38,2)-(4*RawData!B39*A41)))/(2*RawData!B39))+RawData!B37</f>
        <v>818.93005244139931</v>
      </c>
      <c r="C41">
        <f>RawData!B46 + ((RawData!B45 - RawData!B46) * (1 / (1 + (POWER(RawData!B48 / A41, RawData!B47)))))</f>
        <v>826.42154383753359</v>
      </c>
    </row>
    <row r="42" spans="1:3">
      <c r="A42">
        <v>1.16629125900724E-5</v>
      </c>
      <c r="B42">
        <f>((RawData!B36-RawData!B37)*(RawData!B39+A42+RawData!B38-SQRT(POWER(RawData!B39+A42+RawData!B38,2)-(4*RawData!B39*A42)))/(2*RawData!B39))+RawData!B37</f>
        <v>818.33708870415762</v>
      </c>
      <c r="C42">
        <f>RawData!B46 + ((RawData!B45 - RawData!B46) * (1 / (1 + (POWER(RawData!B48 / A42, RawData!B47)))))</f>
        <v>825.68963629752807</v>
      </c>
    </row>
    <row r="43" spans="1:3">
      <c r="A43">
        <v>1.08818822284047E-5</v>
      </c>
      <c r="B43">
        <f>((RawData!B36-RawData!B37)*(RawData!B39+A43+RawData!B38-SQRT(POWER(RawData!B39+A43+RawData!B38,2)-(4*RawData!B39*A43)))/(2*RawData!B39))+RawData!B37</f>
        <v>817.73643491816836</v>
      </c>
      <c r="C43">
        <f>RawData!B46 + ((RawData!B45 - RawData!B46) * (1 / (1 + (POWER(RawData!B48 / A43, RawData!B47)))))</f>
        <v>824.76517346840501</v>
      </c>
    </row>
    <row r="44" spans="1:3">
      <c r="A44">
        <v>1.01531551332784E-5</v>
      </c>
      <c r="B44">
        <f>((RawData!B36-RawData!B37)*(RawData!B39+A44+RawData!B38-SQRT(POWER(RawData!B39+A44+RawData!B38,2)-(4*RawData!B39*A44)))/(2*RawData!B39))+RawData!B37</f>
        <v>817.12941534441575</v>
      </c>
      <c r="C44">
        <f>RawData!B46 + ((RawData!B45 - RawData!B46) * (1 / (1 + (POWER(RawData!B48 / A44, RawData!B47)))))</f>
        <v>823.61863233572262</v>
      </c>
    </row>
    <row r="45" spans="1:3">
      <c r="A45">
        <v>9.47322871142029E-6</v>
      </c>
      <c r="B45">
        <f>((RawData!B36-RawData!B37)*(RawData!B39+A45+RawData!B38-SQRT(POWER(RawData!B39+A45+RawData!B38,2)-(4*RawData!B39*A45)))/(2*RawData!B39))+RawData!B37</f>
        <v>816.51741355098989</v>
      </c>
      <c r="C45">
        <f>RawData!B46 + ((RawData!B45 - RawData!B46) * (1 / (1 + (POWER(RawData!B48 / A45, RawData!B47)))))</f>
        <v>822.22844776552381</v>
      </c>
    </row>
    <row r="46" spans="1:3">
      <c r="A46">
        <v>8.8388349277492398E-6</v>
      </c>
      <c r="B46">
        <f>((RawData!B36-RawData!B37)*(RawData!B39+A46+RawData!B38-SQRT(POWER(RawData!B39+A46+RawData!B38,2)-(4*RawData!B39*A46)))/(2*RawData!B39))+RawData!B37</f>
        <v>815.90186018751342</v>
      </c>
      <c r="C46">
        <f>RawData!B46 + ((RawData!B45 - RawData!B46) * (1 / (1 + (POWER(RawData!B48 / A46, RawData!B47)))))</f>
        <v>820.58831126556265</v>
      </c>
    </row>
    <row r="47" spans="1:3">
      <c r="A47">
        <v>8.2469245977158292E-6</v>
      </c>
      <c r="B47">
        <f>((RawData!B36-RawData!B37)*(RawData!B39+A47+RawData!B38-SQRT(POWER(RawData!B39+A47+RawData!B38,2)-(4*RawData!B39*A47)))/(2*RawData!B39))+RawData!B37</f>
        <v>815.28421982158648</v>
      </c>
      <c r="C47">
        <f>RawData!B46 + ((RawData!B45 - RawData!B46) * (1 / (1 + (POWER(RawData!B48 / A47, RawData!B47)))))</f>
        <v>818.71456363337609</v>
      </c>
    </row>
    <row r="48" spans="1:3">
      <c r="A48">
        <v>7.6946527315370095E-6</v>
      </c>
      <c r="B48">
        <f>((RawData!B36-RawData!B37)*(RawData!B39+A48+RawData!B38-SQRT(POWER(RawData!B39+A48+RawData!B38,2)-(4*RawData!B39*A48)))/(2*RawData!B39))+RawData!B37</f>
        <v>814.66597708972677</v>
      </c>
      <c r="C48">
        <f>RawData!B46 + ((RawData!B45 - RawData!B46) * (1 / (1 + (POWER(RawData!B48 / A48, RawData!B47)))))</f>
        <v>816.65103189301215</v>
      </c>
    </row>
    <row r="49" spans="1:3">
      <c r="A49">
        <v>7.1793648598835197E-6</v>
      </c>
      <c r="B49">
        <f>((RawData!B36-RawData!B37)*(RawData!B39+A49+RawData!B38-SQRT(POWER(RawData!B39+A49+RawData!B38,2)-(4*RawData!B39*A49)))/(2*RawData!B39))+RawData!B37</f>
        <v>814.04862243886203</v>
      </c>
      <c r="C49">
        <f>RawData!B46 + ((RawData!B45 - RawData!B46) * (1 / (1 + (POWER(RawData!B48 / A49, RawData!B47)))))</f>
        <v>814.46830855107908</v>
      </c>
    </row>
    <row r="50" spans="1:3">
      <c r="A50">
        <v>6.6985842752950897E-6</v>
      </c>
      <c r="B50">
        <f>((RawData!B36-RawData!B37)*(RawData!B39+A50+RawData!B38-SQRT(POWER(RawData!B39+A50+RawData!B38,2)-(4*RawData!B39*A50)))/(2*RawData!B39))+RawData!B37</f>
        <v>813.43363774879765</v>
      </c>
      <c r="C50">
        <f>RawData!B46 + ((RawData!B45 - RawData!B46) * (1 / (1 + (POWER(RawData!B48 / A50, RawData!B47)))))</f>
        <v>812.25580779176084</v>
      </c>
    </row>
    <row r="51" spans="1:3">
      <c r="A51">
        <v>6.2500001279999898E-6</v>
      </c>
      <c r="B51">
        <f>((RawData!B36-RawData!B37)*(RawData!B39+A51+RawData!B38-SQRT(POWER(RawData!B39+A51+RawData!B38,2)-(4*RawData!B39*A51)))/(2*RawData!B39))+RawData!B37</f>
        <v>812.82248213020819</v>
      </c>
      <c r="C51">
        <f>RawData!B46 + ((RawData!B45 - RawData!B46) * (1 / (1 + (POWER(RawData!B48 / A51, RawData!B47)))))</f>
        <v>810.10788675813467</v>
      </c>
    </row>
    <row r="52" spans="1:3">
      <c r="A52">
        <v>5.8314563189218303E-6</v>
      </c>
      <c r="B52">
        <f>((RawData!B36-RawData!B37)*(RawData!B39+A52+RawData!B38-SQRT(POWER(RawData!B39+A52+RawData!B38,2)-(4*RawData!B39*A52)))/(2*RawData!B39))+RawData!B37</f>
        <v>812.21657818657411</v>
      </c>
      <c r="C52">
        <f>RawData!B46 + ((RawData!B45 - RawData!B46) * (1 / (1 + (POWER(RawData!B48 / A52, RawData!B47)))))</f>
        <v>808.1083043541912</v>
      </c>
    </row>
    <row r="53" spans="1:3">
      <c r="A53">
        <v>5.4409411364884602E-6</v>
      </c>
      <c r="B53">
        <f>((RawData!B36-RawData!B37)*(RawData!B39+A53+RawData!B38-SQRT(POWER(RawData!B39+A53+RawData!B38,2)-(4*RawData!B39*A53)))/(2*RawData!B39))+RawData!B37</f>
        <v>811.61729901229364</v>
      </c>
      <c r="C53">
        <f>RawData!B46 + ((RawData!B45 - RawData!B46) * (1 / (1 + (POWER(RawData!B48 / A53, RawData!B47)))))</f>
        <v>806.31819306555099</v>
      </c>
    </row>
    <row r="54" spans="1:3">
      <c r="A54">
        <v>5.0765775874328702E-6</v>
      </c>
      <c r="B54">
        <f>((RawData!B36-RawData!B37)*(RawData!B39+A54+RawData!B38-SQRT(POWER(RawData!B39+A54+RawData!B38,2)-(4*RawData!B39*A54)))/(2*RawData!B39))+RawData!B37</f>
        <v>811.02595617386828</v>
      </c>
      <c r="C54">
        <f>RawData!B46 + ((RawData!B45 - RawData!B46) * (1 / (1 + (POWER(RawData!B48 / A54, RawData!B47)))))</f>
        <v>804.77084333864877</v>
      </c>
    </row>
    <row r="55" spans="1:3">
      <c r="A55">
        <v>4.7366143751113203E-6</v>
      </c>
      <c r="B55">
        <f>((RawData!B36-RawData!B37)*(RawData!B39+A55+RawData!B38-SQRT(POWER(RawData!B39+A55+RawData!B38,2)-(4*RawData!B39*A55)))/(2*RawData!B39))+RawData!B37</f>
        <v>810.4437888878947</v>
      </c>
      <c r="C55">
        <f>RawData!B46 + ((RawData!B45 - RawData!B46) * (1 / (1 + (POWER(RawData!B48 / A55, RawData!B47)))))</f>
        <v>803.47336743570963</v>
      </c>
    </row>
    <row r="56" spans="1:3">
      <c r="A56">
        <v>4.41941748197655E-6</v>
      </c>
      <c r="B56">
        <f>((RawData!B36-RawData!B37)*(RawData!B39+A56+RawData!B38-SQRT(POWER(RawData!B39+A56+RawData!B38,2)-(4*RawData!B39*A56)))/(2*RawData!B39))+RawData!B37</f>
        <v>809.871954570311</v>
      </c>
      <c r="C56">
        <f>RawData!B46 + ((RawData!B45 - RawData!B46) * (1 / (1 + (POWER(RawData!B48 / A56, RawData!B47)))))</f>
        <v>802.41285262362908</v>
      </c>
    </row>
    <row r="57" spans="1:3">
      <c r="A57">
        <v>4.1234623157476203E-6</v>
      </c>
      <c r="B57">
        <f>((RawData!B36-RawData!B37)*(RawData!B39+A57+RawData!B38-SQRT(POWER(RawData!B39+A57+RawData!B38,2)-(4*RawData!B39*A57)))/(2*RawData!B39))+RawData!B37</f>
        <v>809.31152088780254</v>
      </c>
      <c r="C57">
        <f>RawData!B46 + ((RawData!B45 - RawData!B46) * (1 / (1 + (POWER(RawData!B48 / A57, RawData!B47)))))</f>
        <v>801.56397366112219</v>
      </c>
    </row>
    <row r="58" spans="1:3">
      <c r="A58">
        <v>3.8473263815271597E-6</v>
      </c>
      <c r="B58">
        <f>((RawData!B36-RawData!B37)*(RawData!B39+A58+RawData!B38-SQRT(POWER(RawData!B39+A58+RawData!B38,2)-(4*RawData!B39*A58)))/(2*RawData!B39))+RawData!B37</f>
        <v>808.76345939663736</v>
      </c>
      <c r="C58">
        <f>RawData!B46 + ((RawData!B45 - RawData!B46) * (1 / (1 + (POWER(RawData!B48 / A58, RawData!B47)))))</f>
        <v>800.89580677480558</v>
      </c>
    </row>
    <row r="59" spans="1:3">
      <c r="A59">
        <v>3.5896824446450998E-6</v>
      </c>
      <c r="B59">
        <f>((RawData!B36-RawData!B37)*(RawData!B39+A59+RawData!B38-SQRT(POWER(RawData!B39+A59+RawData!B38,2)-(4*RawData!B39*A59)))/(2*RawData!B39))+RawData!B37</f>
        <v>808.22864080838383</v>
      </c>
      <c r="C59">
        <f>RawData!B46 + ((RawData!B45 - RawData!B46) * (1 / (1 + (POWER(RawData!B48 / A59, RawData!B47)))))</f>
        <v>800.37679651757151</v>
      </c>
    </row>
    <row r="60" spans="1:3">
      <c r="A60">
        <v>3.34929215136624E-6</v>
      </c>
      <c r="B60">
        <f>((RawData!B36-RawData!B37)*(RawData!B39+A60+RawData!B38-SQRT(POWER(RawData!B39+A60+RawData!B38,2)-(4*RawData!B39*A60)))/(2*RawData!B39))+RawData!B37</f>
        <v>807.70783187797974</v>
      </c>
      <c r="C60">
        <f>RawData!B46 + ((RawData!B45 - RawData!B46) * (1 / (1 + (POWER(RawData!B48 / A60, RawData!B47)))))</f>
        <v>799.97777588766053</v>
      </c>
    </row>
    <row r="61" spans="1:3">
      <c r="A61">
        <v>3.1250000768000002E-6</v>
      </c>
      <c r="B61">
        <f>((RawData!B36-RawData!B37)*(RawData!B39+A61+RawData!B38-SQRT(POWER(RawData!B39+A61+RawData!B38,2)-(4*RawData!B39*A61)))/(2*RawData!B39))+RawData!B37</f>
        <v>807.20169386896828</v>
      </c>
      <c r="C61">
        <f>RawData!B46 + ((RawData!B45 - RawData!B46) * (1 / (1 + (POWER(RawData!B48 / A61, RawData!B47)))))</f>
        <v>799.673426190643</v>
      </c>
    </row>
    <row r="62" spans="1:3">
      <c r="A62">
        <v>2.9157281714037401E-6</v>
      </c>
      <c r="B62">
        <f>((RawData!B36-RawData!B37)*(RawData!B39+A62+RawData!B38-SQRT(POWER(RawData!B39+A62+RawData!B38,2)-(4*RawData!B39*A62)))/(2*RawData!B39))+RawData!B37</f>
        <v>806.71078251492145</v>
      </c>
      <c r="C62">
        <f>RawData!B46 + ((RawData!B45 - RawData!B46) * (1 / (1 + (POWER(RawData!B48 / A62, RawData!B47)))))</f>
        <v>799.44268631015109</v>
      </c>
    </row>
    <row r="63" spans="1:3">
      <c r="A63">
        <v>2.7204705793872801E-6</v>
      </c>
      <c r="B63">
        <f>((RawData!B36-RawData!B37)*(RawData!B39+A63+RawData!B38-SQRT(POWER(RawData!B39+A63+RawData!B38,2)-(4*RawData!B39*A63)))/(2*RawData!B39))+RawData!B37</f>
        <v>806.23554936591233</v>
      </c>
      <c r="C63">
        <f>RawData!B46 + ((RawData!B45 - RawData!B46) * (1 / (1 + (POWER(RawData!B48 / A63, RawData!B47)))))</f>
        <v>799.26855422335439</v>
      </c>
    </row>
    <row r="64" spans="1:3">
      <c r="A64">
        <v>2.5382888041132699E-6</v>
      </c>
      <c r="B64">
        <f>((RawData!B36-RawData!B37)*(RawData!B39+A64+RawData!B38-SQRT(POWER(RawData!B39+A64+RawData!B38,2)-(4*RawData!B39*A64)))/(2*RawData!B39))+RawData!B37</f>
        <v>805.776344385112</v>
      </c>
      <c r="C64">
        <f>RawData!B46 + ((RawData!B45 - RawData!B46) * (1 / (1 + (POWER(RawData!B48 / A64, RawData!B47)))))</f>
        <v>799.13759697052626</v>
      </c>
    </row>
    <row r="65" spans="1:3">
      <c r="A65">
        <v>2.3683071972562402E-6</v>
      </c>
      <c r="B65">
        <f>((RawData!B36-RawData!B37)*(RawData!B39+A65+RawData!B38-SQRT(POWER(RawData!B39+A65+RawData!B38,2)-(4*RawData!B39*A65)))/(2*RawData!B39))+RawData!B37</f>
        <v>805.33341964334261</v>
      </c>
      <c r="C65">
        <f>RawData!B46 + ((RawData!B45 - RawData!B46) * (1 / (1 + (POWER(RawData!B48 / A65, RawData!B47)))))</f>
        <v>799.03936617024362</v>
      </c>
    </row>
    <row r="66" spans="1:3">
      <c r="A66">
        <v>2.20970875003924E-6</v>
      </c>
      <c r="B66">
        <f>((RawData!B36-RawData!B37)*(RawData!B39+A66+RawData!B38-SQRT(POWER(RawData!B39+A66+RawData!B38,2)-(4*RawData!B39*A66)))/(2*RawData!B39))+RawData!B37</f>
        <v>804.90693394860398</v>
      </c>
      <c r="C66">
        <f>RawData!B46 + ((RawData!B45 - RawData!B46) * (1 / (1 + (POWER(RawData!B48 / A66, RawData!B47)))))</f>
        <v>798.96582746967624</v>
      </c>
    </row>
    <row r="67" spans="1:3">
      <c r="A67">
        <v>2.06173116631866E-6</v>
      </c>
      <c r="B67">
        <f>((RawData!B36-RawData!B37)*(RawData!B39+A67+RawData!B38-SQRT(POWER(RawData!B39+A67+RawData!B38,2)-(4*RawData!B39*A67)))/(2*RawData!B39))+RawData!B37</f>
        <v>804.49695824288324</v>
      </c>
      <c r="C67">
        <f>RawData!B46 + ((RawData!B45 - RawData!B46) * (1 / (1 + (POWER(RawData!B48 / A67, RawData!B47)))))</f>
        <v>798.91085467263213</v>
      </c>
    </row>
    <row r="68" spans="1:3">
      <c r="A68">
        <v>1.9236631986429001E-6</v>
      </c>
      <c r="B68">
        <f>((RawData!B36-RawData!B37)*(RawData!B39+A68+RawData!B38-SQRT(POWER(RawData!B39+A68+RawData!B38,2)-(4*RawData!B39*A68)))/(2*RawData!B39))+RawData!B37</f>
        <v>804.1034815992839</v>
      </c>
      <c r="C68">
        <f>RawData!B46 + ((RawData!B45 - RawData!B46) * (1 / (1 + (POWER(RawData!B48 / A68, RawData!B47)))))</f>
        <v>798.8698055472388</v>
      </c>
    </row>
    <row r="69" spans="1:3">
      <c r="A69">
        <v>1.7948412296742199E-6</v>
      </c>
      <c r="B69">
        <f>((RawData!B36-RawData!B37)*(RawData!B39+A69+RawData!B38-SQRT(POWER(RawData!B39+A69+RawData!B38,2)-(4*RawData!B39*A69)))/(2*RawData!B39))+RawData!B37</f>
        <v>803.72641765796186</v>
      </c>
      <c r="C69">
        <f>RawData!B46 + ((RawData!B45 - RawData!B46) * (1 / (1 + (POWER(RawData!B48 / A69, RawData!B47)))))</f>
        <v>798.83917853460196</v>
      </c>
    </row>
    <row r="70" spans="1:3">
      <c r="A70">
        <v>1.6746460825424701E-6</v>
      </c>
      <c r="B70">
        <f>((RawData!B36-RawData!B37)*(RawData!B39+A70+RawData!B38-SQRT(POWER(RawData!B39+A70+RawData!B38,2)-(4*RawData!B39*A70)))/(2*RawData!B39))+RawData!B37</f>
        <v>803.3656113486702</v>
      </c>
      <c r="C70">
        <f>RawData!B46 + ((RawData!B45 - RawData!B46) * (1 / (1 + (POWER(RawData!B48 / A70, RawData!B47)))))</f>
        <v>798.81634147344221</v>
      </c>
    </row>
    <row r="71" spans="1:3">
      <c r="A71">
        <v>1.5625000448E-6</v>
      </c>
      <c r="B71">
        <f>((RawData!B36-RawData!B37)*(RawData!B39+A71+RawData!B38-SQRT(POWER(RawData!B39+A71+RawData!B38,2)-(4*RawData!B39*A71)))/(2*RawData!B39))+RawData!B37</f>
        <v>803.02084576001414</v>
      </c>
      <c r="C71">
        <f>RawData!B46 + ((RawData!B45 - RawData!B46) * (1 / (1 + (POWER(RawData!B48 / A71, RawData!B47)))))</f>
        <v>798.79932074801297</v>
      </c>
    </row>
    <row r="72" spans="1:3">
      <c r="A72">
        <v>1.4578640916732799E-6</v>
      </c>
      <c r="B72">
        <f>((RawData!B36-RawData!B37)*(RawData!B39+A72+RawData!B38-SQRT(POWER(RawData!B39+A72+RawData!B38,2)-(4*RawData!B39*A72)))/(2*RawData!B39))+RawData!B37</f>
        <v>802.69184902992674</v>
      </c>
      <c r="C72">
        <f>RawData!B46 + ((RawData!B45 - RawData!B46) * (1 / (1 + (POWER(RawData!B48 / A72, RawData!B47)))))</f>
        <v>798.78663930890718</v>
      </c>
    </row>
    <row r="73" spans="1:3">
      <c r="A73">
        <v>1.36023529526516E-6</v>
      </c>
      <c r="B73">
        <f>((RawData!B36-RawData!B37)*(RawData!B39+A73+RawData!B38-SQRT(POWER(RawData!B39+A73+RawData!B38,2)-(4*RawData!B39*A73)))/(2*RawData!B39))+RawData!B37</f>
        <v>802.37830114759993</v>
      </c>
      <c r="C73">
        <f>RawData!B46 + ((RawData!B45 - RawData!B46) * (1 / (1 + (POWER(RawData!B48 / A73, RawData!B47)))))</f>
        <v>798.77719328138448</v>
      </c>
    </row>
    <row r="74" spans="1:3">
      <c r="A74">
        <v>1.26914440725505E-6</v>
      </c>
      <c r="B74">
        <f>((RawData!B36-RawData!B37)*(RawData!B39+A74+RawData!B38-SQRT(POWER(RawData!B39+A74+RawData!B38,2)-(4*RawData!B39*A74)))/(2*RawData!B39))+RawData!B37</f>
        <v>802.0798405734331</v>
      </c>
      <c r="C74">
        <f>RawData!B46 + ((RawData!B45 - RawData!B46) * (1 / (1 + (POWER(RawData!B48 / A74, RawData!B47)))))</f>
        <v>798.77015854096351</v>
      </c>
    </row>
    <row r="75" spans="1:3">
      <c r="A75">
        <v>1.1841536034784201E-6</v>
      </c>
      <c r="B75">
        <f>((RawData!B36-RawData!B37)*(RawData!B39+A75+RawData!B38-SQRT(POWER(RawData!B39+A75+RawData!B38,2)-(4*RawData!B39*A75)))/(2*RawData!B39))+RawData!B37</f>
        <v>801.79607059982061</v>
      </c>
      <c r="C75">
        <f>RawData!B46 + ((RawData!B45 - RawData!B46) * (1 / (1 + (POWER(RawData!B48 / A75, RawData!B47)))))</f>
        <v>798.76492029328006</v>
      </c>
    </row>
    <row r="76" spans="1:3">
      <c r="A76">
        <v>1.1048543795451E-6</v>
      </c>
      <c r="B76">
        <f>((RawData!B36-RawData!B37)*(RawData!B39+A76+RawData!B38-SQRT(POWER(RawData!B39+A76+RawData!B38,2)-(4*RawData!B39*A76)))/(2*RawData!B39))+RawData!B37</f>
        <v>801.52656539136512</v>
      </c>
      <c r="C76">
        <f>RawData!B46 + ((RawData!B45 - RawData!B46) * (1 / (1 + (POWER(RawData!B48 / A76, RawData!B47)))))</f>
        <v>798.76102016743118</v>
      </c>
    </row>
    <row r="77" spans="1:3">
      <c r="A77">
        <v>1.0308655873817501E-6</v>
      </c>
      <c r="B77">
        <f>((RawData!B36-RawData!B37)*(RawData!B39+A77+RawData!B38-SQRT(POWER(RawData!B39+A77+RawData!B38,2)-(4*RawData!B39*A77)))/(2*RawData!B39))+RawData!B37</f>
        <v>801.27087565790634</v>
      </c>
      <c r="C77">
        <f>RawData!B46 + ((RawData!B45 - RawData!B46) * (1 / (1 + (POWER(RawData!B48 / A77, RawData!B47)))))</f>
        <v>798.75811656308178</v>
      </c>
    </row>
    <row r="78" spans="1:3">
      <c r="A78">
        <v>9.6183160326111296E-7</v>
      </c>
      <c r="B78">
        <f>((RawData!B36-RawData!B37)*(RawData!B39+A78+RawData!B38-SQRT(POWER(RawData!B39+A78+RawData!B38,2)-(4*RawData!B39*A78)))/(2*RawData!B39))+RawData!B37</f>
        <v>801.02853392734312</v>
      </c>
      <c r="C78">
        <f>RawData!B46 + ((RawData!B45 - RawData!B46) * (1 / (1 + (POWER(RawData!B48 / A78, RawData!B47)))))</f>
        <v>798.75595498409041</v>
      </c>
    </row>
    <row r="79" spans="1:3">
      <c r="A79">
        <v>8.9742061851294305E-7</v>
      </c>
      <c r="B79">
        <f>((RawData!B36-RawData!B37)*(RawData!B39+A79+RawData!B38-SQRT(POWER(RawData!B39+A79+RawData!B38,2)-(4*RawData!B39*A79)))/(2*RawData!B39))+RawData!B37</f>
        <v>800.79905939740854</v>
      </c>
      <c r="C79">
        <f>RawData!B46 + ((RawData!B45 - RawData!B46) * (1 / (1 + (POWER(RawData!B48 / A79, RawData!B47)))))</f>
        <v>798.75434587286668</v>
      </c>
    </row>
    <row r="80" spans="1:3">
      <c r="A80">
        <v>8.3732304470091104E-7</v>
      </c>
      <c r="B80">
        <f>((RawData!B36-RawData!B37)*(RawData!B39+A80+RawData!B38-SQRT(POWER(RawData!B39+A80+RawData!B38,2)-(4*RawData!B39*A80)))/(2*RawData!B39))+RawData!B37</f>
        <v>800.5819623562428</v>
      </c>
      <c r="C80">
        <f>RawData!B46 + ((RawData!B45 - RawData!B46) * (1 / (1 + (POWER(RawData!B48 / A80, RawData!B47)))))</f>
        <v>798.75314806521624</v>
      </c>
    </row>
    <row r="81" spans="1:3">
      <c r="A81">
        <v>7.8125002559999899E-7</v>
      </c>
      <c r="B81">
        <f>((RawData!B36-RawData!B37)*(RawData!B39+A81+RawData!B38-SQRT(POWER(RawData!B39+A81+RawData!B38,2)-(4*RawData!B39*A81)))/(2*RawData!B39))+RawData!B37</f>
        <v>800.37674817073025</v>
      </c>
      <c r="C81">
        <f>RawData!B46 + ((RawData!B45 - RawData!B46) * (1 / (1 + (POWER(RawData!B48 / A81, RawData!B47)))))</f>
        <v>798.75225644947329</v>
      </c>
    </row>
    <row r="82" spans="1:3">
      <c r="A82">
        <v>7.2893204882234503E-7</v>
      </c>
      <c r="B82">
        <f>((RawData!B36-RawData!B37)*(RawData!B39+A82+RawData!B38-SQRT(POWER(RawData!B39+A82+RawData!B38,2)-(4*RawData!B39*A82)))/(2*RawData!B39))+RawData!B37</f>
        <v>800.18292084920495</v>
      </c>
      <c r="C82">
        <f>RawData!B46 + ((RawData!B45 - RawData!B46) * (1 / (1 + (POWER(RawData!B48 / A82, RawData!B47)))))</f>
        <v>798.75159276653631</v>
      </c>
    </row>
    <row r="83" spans="1:3">
      <c r="A83">
        <v>6.8011765041834304E-7</v>
      </c>
      <c r="B83">
        <f>((RawData!B36-RawData!B37)*(RawData!B39+A83+RawData!B38-SQRT(POWER(RawData!B39+A83+RawData!B38,2)-(4*RawData!B39*A83)))/(2*RawData!B39))+RawData!B37</f>
        <v>799.99998619130804</v>
      </c>
      <c r="C83">
        <f>RawData!B46 + ((RawData!B45 - RawData!B46) * (1 / (1 + (POWER(RawData!B48 / A83, RawData!B47)))))</f>
        <v>798.75109875416058</v>
      </c>
    </row>
    <row r="84" spans="1:3">
      <c r="A84">
        <v>6.3457220622673198E-7</v>
      </c>
      <c r="B84">
        <f>((RawData!B36-RawData!B37)*(RawData!B39+A84+RawData!B38-SQRT(POWER(RawData!B39+A84+RawData!B38,2)-(4*RawData!B39*A84)))/(2*RawData!B39))+RawData!B37</f>
        <v>799.82745454264284</v>
      </c>
      <c r="C84">
        <f>RawData!B46 + ((RawData!B45 - RawData!B46) * (1 / (1 + (POWER(RawData!B48 / A84, RawData!B47)))))</f>
        <v>798.75073103968475</v>
      </c>
    </row>
    <row r="85" spans="1:3">
      <c r="A85">
        <v>5.9207680416435398E-7</v>
      </c>
      <c r="B85">
        <f>((RawData!B36-RawData!B37)*(RawData!B39+A85+RawData!B38-SQRT(POWER(RawData!B39+A85+RawData!B38,2)-(4*RawData!B39*A85)))/(2*RawData!B39))+RawData!B37</f>
        <v>799.66484317551794</v>
      </c>
      <c r="C85">
        <f>RawData!B46 + ((RawData!B45 - RawData!B46) * (1 / (1 + (POWER(RawData!B48 / A85, RawData!B47)))))</f>
        <v>798.75045733612797</v>
      </c>
    </row>
    <row r="86" spans="1:3">
      <c r="A86">
        <v>5.5242719203529402E-7</v>
      </c>
      <c r="B86">
        <f>((RawData!B36-RawData!B37)*(RawData!B39+A86+RawData!B38-SQRT(POWER(RawData!B39+A86+RawData!B38,2)-(4*RawData!B39*A86)))/(2*RawData!B39))+RawData!B37</f>
        <v>799.51167831965597</v>
      </c>
      <c r="C86">
        <f>RawData!B46 + ((RawData!B45 - RawData!B46) * (1 / (1 + (POWER(RawData!B48 / A86, RawData!B47)))))</f>
        <v>798.75025360950576</v>
      </c>
    </row>
    <row r="87" spans="1:3">
      <c r="A87">
        <v>5.1543279580209005E-7</v>
      </c>
      <c r="B87">
        <f>((RawData!B36-RawData!B37)*(RawData!B39+A87+RawData!B38-SQRT(POWER(RawData!B39+A87+RawData!B38,2)-(4*RawData!B39*A87)))/(2*RawData!B39))+RawData!B37</f>
        <v>799.36749686840074</v>
      </c>
      <c r="C87">
        <f>RawData!B46 + ((RawData!B45 - RawData!B46) * (1 / (1 + (POWER(RawData!B48 / A87, RawData!B47)))))</f>
        <v>798.75010196964945</v>
      </c>
    </row>
    <row r="88" spans="1:3">
      <c r="A88">
        <v>4.8091580360038698E-7</v>
      </c>
      <c r="B88">
        <f>((RawData!B36-RawData!B37)*(RawData!B39+A88+RawData!B38-SQRT(POWER(RawData!B39+A88+RawData!B38,2)-(4*RawData!B39*A88)))/(2*RawData!B39))+RawData!B37</f>
        <v>799.23184778679808</v>
      </c>
      <c r="C88">
        <f>RawData!B46 + ((RawData!B45 - RawData!B46) * (1 / (1 + (POWER(RawData!B48 / A88, RawData!B47)))))</f>
        <v>798.74998909988199</v>
      </c>
    </row>
    <row r="89" spans="1:3">
      <c r="A89">
        <v>4.4871031109438903E-7</v>
      </c>
      <c r="B89">
        <f>((RawData!B36-RawData!B37)*(RawData!B39+A89+RawData!B38-SQRT(POWER(RawData!B39+A89+RawData!B38,2)-(4*RawData!B39*A89)))/(2*RawData!B39))+RawData!B37</f>
        <v>799.10429324817221</v>
      </c>
      <c r="C89">
        <f>RawData!B46 + ((RawData!B45 - RawData!B46) * (1 / (1 + (POWER(RawData!B48 / A89, RawData!B47)))))</f>
        <v>798.74990508796031</v>
      </c>
    </row>
    <row r="90" spans="1:3">
      <c r="A90">
        <v>4.1866152406529299E-7</v>
      </c>
      <c r="B90">
        <f>((RawData!B36-RawData!B37)*(RawData!B39+A90+RawData!B38-SQRT(POWER(RawData!B39+A90+RawData!B38,2)-(4*RawData!B39*A90)))/(2*RawData!B39))+RawData!B37</f>
        <v>798.98440952545695</v>
      </c>
      <c r="C90">
        <f>RawData!B46 + ((RawData!B45 - RawData!B46) * (1 / (1 + (POWER(RawData!B48 / A90, RawData!B47)))))</f>
        <v>798.74984255579318</v>
      </c>
    </row>
    <row r="91" spans="1:3">
      <c r="A91">
        <v>3.9062501439999899E-7</v>
      </c>
      <c r="B91">
        <f>((RawData!B36-RawData!B37)*(RawData!B39+A91+RawData!B38-SQRT(POWER(RawData!B39+A91+RawData!B38,2)-(4*RawData!B39*A91)))/(2*RawData!B39))+RawData!B37</f>
        <v>798.87178766281295</v>
      </c>
      <c r="C91">
        <f>RawData!B46 + ((RawData!B45 - RawData!B46) * (1 / (1 + (POWER(RawData!B48 / A91, RawData!B47)))))</f>
        <v>798.74979601160067</v>
      </c>
    </row>
    <row r="92" spans="1:3">
      <c r="A92">
        <v>3.6446602590402499E-7</v>
      </c>
      <c r="B92">
        <f>((RawData!B36-RawData!B37)*(RawData!B39+A92+RawData!B38-SQRT(POWER(RawData!B39+A92+RawData!B38,2)-(4*RawData!B39*A92)))/(2*RawData!B39))+RawData!B37</f>
        <v>798.76603395200368</v>
      </c>
      <c r="C92">
        <f>RawData!B46 + ((RawData!B45 - RawData!B46) * (1 / (1 + (POWER(RawData!B48 / A92, RawData!B47)))))</f>
        <v>798.74976136767361</v>
      </c>
    </row>
    <row r="93" spans="1:3">
      <c r="A93">
        <v>3.4005882660205198E-7</v>
      </c>
      <c r="B93">
        <f>((RawData!B36-RawData!B37)*(RawData!B39+A93+RawData!B38-SQRT(POWER(RawData!B39+A93+RawData!B38,2)-(4*RawData!B39*A93)))/(2*RawData!B39))+RawData!B37</f>
        <v>798.66677023667751</v>
      </c>
      <c r="C93">
        <f>RawData!B46 + ((RawData!B45 - RawData!B46) * (1 / (1 + (POWER(RawData!B48 / A93, RawData!B47)))))</f>
        <v>798.74973558140914</v>
      </c>
    </row>
    <row r="94" spans="1:3">
      <c r="A94">
        <v>3.1728610441297002E-7</v>
      </c>
      <c r="B94">
        <f>((RawData!B36-RawData!B37)*(RawData!B39+A94+RawData!B38-SQRT(POWER(RawData!B39+A94+RawData!B38,2)-(4*RawData!B39*A94)))/(2*RawData!B39))+RawData!B37</f>
        <v>798.57363406626177</v>
      </c>
      <c r="C94">
        <f>RawData!B46 + ((RawData!B45 - RawData!B46) * (1 / (1 + (POWER(RawData!B48 / A94, RawData!B47)))))</f>
        <v>798.74971638811462</v>
      </c>
    </row>
    <row r="95" spans="1:3">
      <c r="A95">
        <v>2.9603840329475002E-7</v>
      </c>
      <c r="B95">
        <f>((RawData!B36-RawData!B37)*(RawData!B39+A95+RawData!B38-SQRT(POWER(RawData!B39+A95+RawData!B38,2)-(4*RawData!B39*A95)))/(2*RawData!B39))+RawData!B37</f>
        <v>798.48627871959957</v>
      </c>
      <c r="C95">
        <f>RawData!B46 + ((RawData!B45 - RawData!B46) * (1 / (1 + (POWER(RawData!B48 / A95, RawData!B47)))))</f>
        <v>798.74970210212098</v>
      </c>
    </row>
    <row r="96" spans="1:3">
      <c r="A96">
        <v>2.7621359714901801E-7</v>
      </c>
      <c r="B96">
        <f>((RawData!B36-RawData!B37)*(RawData!B39+A96+RawData!B38-SQRT(POWER(RawData!B39+A96+RawData!B38,2)-(4*RawData!B39*A96)))/(2*RawData!B39))+RawData!B37</f>
        <v>798.40437311686287</v>
      </c>
      <c r="C96">
        <f>RawData!B46 + ((RawData!B45 - RawData!B46) * (1 / (1 + (POWER(RawData!B48 / A96, RawData!B47)))))</f>
        <v>798.74969146874298</v>
      </c>
    </row>
    <row r="97" spans="1:3">
      <c r="A97">
        <v>2.5771639895665099E-7</v>
      </c>
      <c r="B97">
        <f>((RawData!B36-RawData!B37)*(RawData!B39+A97+RawData!B38-SQRT(POWER(RawData!B39+A97+RawData!B38,2)-(4*RawData!B39*A97)))/(2*RawData!B39))+RawData!B37</f>
        <v>798.32760163664409</v>
      </c>
      <c r="C97">
        <f>RawData!B46 + ((RawData!B45 - RawData!B46) * (1 / (1 + (POWER(RawData!B48 / A97, RawData!B47)))))</f>
        <v>798.74968355408828</v>
      </c>
    </row>
    <row r="98" spans="1:3">
      <c r="A98">
        <v>2.40457902785109E-7</v>
      </c>
      <c r="B98">
        <f>((RawData!B36-RawData!B37)*(RawData!B39+A98+RawData!B38-SQRT(POWER(RawData!B39+A98+RawData!B38,2)-(4*RawData!B39*A98)))/(2*RawData!B39))+RawData!B37</f>
        <v>798.25566385356888</v>
      </c>
      <c r="C98">
        <f>RawData!B46 + ((RawData!B45 - RawData!B46) * (1 / (1 + (POWER(RawData!B48 / A98, RawData!B47)))))</f>
        <v>798.74967766303962</v>
      </c>
    </row>
    <row r="99" spans="1:3">
      <c r="A99">
        <v>2.24355156466153E-7</v>
      </c>
      <c r="B99">
        <f>((RawData!B36-RawData!B37)*(RawData!B39+A99+RawData!B38-SQRT(POWER(RawData!B39+A99+RawData!B38,2)-(4*RawData!B39*A99)))/(2*RawData!B39))+RawData!B37</f>
        <v>798.18827421020228</v>
      </c>
      <c r="C99">
        <f>RawData!B46 + ((RawData!B45 - RawData!B46) * (1 / (1 + (POWER(RawData!B48 / A99, RawData!B47)))))</f>
        <v>798.74967327820525</v>
      </c>
    </row>
    <row r="100" spans="1:3">
      <c r="A100">
        <v>2.0933076289006499E-7</v>
      </c>
      <c r="B100">
        <f>((RawData!B36-RawData!B37)*(RawData!B39+A100+RawData!B38-SQRT(POWER(RawData!B39+A100+RawData!B38,2)-(4*RawData!B39*A100)))/(2*RawData!B39))+RawData!B37</f>
        <v>798.12516163558587</v>
      </c>
      <c r="C100">
        <f>RawData!B46 + ((RawData!B45 - RawData!B46) * (1 / (1 + (POWER(RawData!B48 / A100, RawData!B47)))))</f>
        <v>798.74967001447874</v>
      </c>
    </row>
    <row r="101" spans="1:3">
      <c r="A101">
        <v>1.9531250800000001E-7</v>
      </c>
      <c r="B101">
        <f>((RawData!B36-RawData!B37)*(RawData!B39+A101+RawData!B38-SQRT(POWER(RawData!B39+A101+RawData!B38,2)-(4*RawData!B39*A101)))/(2*RawData!B39))+RawData!B37</f>
        <v>798.06606912134441</v>
      </c>
      <c r="C101">
        <f>RawData!B46 + ((RawData!B45 - RawData!B46) * (1 / (1 + (POWER(RawData!B48 / A101, RawData!B47)))))</f>
        <v>798.74966758521714</v>
      </c>
    </row>
    <row r="102" spans="1:3">
      <c r="A102">
        <v>1.82233013698439E-7</v>
      </c>
      <c r="B102">
        <f>((RawData!B36-RawData!B37)*(RawData!B39+A102+RawData!B38-SQRT(POWER(RawData!B39+A102+RawData!B38,2)-(4*RawData!B39*A102)))/(2*RawData!B39))+RawData!B37</f>
        <v>798.01075326501439</v>
      </c>
      <c r="C102">
        <f>RawData!B46 + ((RawData!B45 - RawData!B46) * (1 / (1 + (POWER(RawData!B48 / A102, RawData!B47)))))</f>
        <v>798.74966577706584</v>
      </c>
    </row>
    <row r="103" spans="1:3">
      <c r="A103">
        <v>1.7002941399746699E-7</v>
      </c>
      <c r="B103">
        <f>((RawData!B36-RawData!B37)*(RawData!B39+A103+RawData!B38-SQRT(POWER(RawData!B39+A103+RawData!B38,2)-(4*RawData!B39*A103)))/(2*RawData!B39))+RawData!B37</f>
        <v>797.95898378905065</v>
      </c>
      <c r="C103">
        <f>RawData!B46 + ((RawData!B45 - RawData!B46) * (1 / (1 + (POWER(RawData!B48 / A103, RawData!B47)))))</f>
        <v>798.74966443122003</v>
      </c>
    </row>
    <row r="104" spans="1:3">
      <c r="A104">
        <v>1.58643052856287E-7</v>
      </c>
      <c r="B104">
        <f>((RawData!B36-RawData!B37)*(RawData!B39+A104+RawData!B38-SQRT(POWER(RawData!B39+A104+RawData!B38,2)-(4*RawData!B39*A104)))/(2*RawData!B39))+RawData!B37</f>
        <v>797.91054304287434</v>
      </c>
      <c r="C104">
        <f>RawData!B46 + ((RawData!B45 - RawData!B46) * (1 / (1 + (POWER(RawData!B48 / A104, RawData!B47)))))</f>
        <v>798.74966342947835</v>
      </c>
    </row>
    <row r="105" spans="1:3">
      <c r="A105">
        <v>1.48019202253662E-7</v>
      </c>
      <c r="B105">
        <f>((RawData!B36-RawData!B37)*(RawData!B39+A105+RawData!B38-SQRT(POWER(RawData!B39+A105+RawData!B38,2)-(4*RawData!B39*A105)))/(2*RawData!B39))+RawData!B37</f>
        <v>797.86522549431743</v>
      </c>
      <c r="C105">
        <f>RawData!B46 + ((RawData!B45 - RawData!B46) * (1 / (1 + (POWER(RawData!B48 / A105, RawData!B47)))))</f>
        <v>798.74966268386072</v>
      </c>
    </row>
    <row r="106" spans="1:3">
      <c r="A106">
        <v>1.38106799140194E-7</v>
      </c>
      <c r="B106">
        <f>((RawData!B36-RawData!B37)*(RawData!B39+A106+RawData!B38-SQRT(POWER(RawData!B39+A106+RawData!B38,2)-(4*RawData!B39*A106)))/(2*RawData!B39))+RawData!B37</f>
        <v>797.82283721591784</v>
      </c>
      <c r="C106">
        <f>RawData!B46 + ((RawData!B45 - RawData!B46) * (1 / (1 + (POWER(RawData!B48 / A106, RawData!B47)))))</f>
        <v>798.74966212888148</v>
      </c>
    </row>
    <row r="107" spans="1:3">
      <c r="A107">
        <v>1.2885820000612901E-7</v>
      </c>
      <c r="B107">
        <f>((RawData!B36-RawData!B37)*(RawData!B39+A107+RawData!B38-SQRT(POWER(RawData!B39+A107+RawData!B38,2)-(4*RawData!B39*A107)))/(2*RawData!B39))+RawData!B37</f>
        <v>797.78319537070422</v>
      </c>
      <c r="C107">
        <f>RawData!B46 + ((RawData!B45 - RawData!B46) * (1 / (1 + (POWER(RawData!B48 / A107, RawData!B47)))))</f>
        <v>798.74966171579865</v>
      </c>
    </row>
    <row r="108" spans="1:3">
      <c r="A108">
        <v>1.2022895188501199E-7</v>
      </c>
      <c r="B108">
        <f>((RawData!B36-RawData!B37)*(RawData!B39+A108+RawData!B38-SQRT(POWER(RawData!B39+A108+RawData!B38,2)-(4*RawData!B39*A108)))/(2*RawData!B39))+RawData!B37</f>
        <v>797.74612770137924</v>
      </c>
      <c r="C108">
        <f>RawData!B46 + ((RawData!B45 - RawData!B46) * (1 / (1 + (POWER(RawData!B48 / A108, RawData!B47)))))</f>
        <v>798.74966140833237</v>
      </c>
    </row>
    <row r="109" spans="1:3">
      <c r="A109">
        <v>1.1217757869255601E-7</v>
      </c>
      <c r="B109">
        <f>((RawData!B36-RawData!B37)*(RawData!B39+A109+RawData!B38-SQRT(POWER(RawData!B39+A109+RawData!B38,2)-(4*RawData!B39*A109)))/(2*RawData!B39))+RawData!B37</f>
        <v>797.71147202614702</v>
      </c>
      <c r="C109">
        <f>RawData!B46 + ((RawData!B45 - RawData!B46) * (1 / (1 + (POWER(RawData!B48 / A109, RawData!B47)))))</f>
        <v>798.74966117947861</v>
      </c>
    </row>
    <row r="110" spans="1:3">
      <c r="A110">
        <v>1.04665381873742E-7</v>
      </c>
      <c r="B110">
        <f>((RawData!B36-RawData!B37)*(RawData!B39+A110+RawData!B38-SQRT(POWER(RawData!B39+A110+RawData!B38,2)-(4*RawData!B39*A110)))/(2*RawData!B39))+RawData!B37</f>
        <v>797.67907574388028</v>
      </c>
      <c r="C110">
        <f>RawData!B46 + ((RawData!B45 - RawData!B46) * (1 / (1 + (POWER(RawData!B48 / A110, RawData!B47)))))</f>
        <v>798.74966100913787</v>
      </c>
    </row>
    <row r="111" spans="1:3">
      <c r="A111">
        <v>9.7656254399999801E-8</v>
      </c>
      <c r="B111">
        <f>((RawData!B36-RawData!B37)*(RawData!B39+A111+RawData!B38-SQRT(POWER(RawData!B39+A111+RawData!B38,2)-(4*RawData!B39*A111)))/(2*RawData!B39))+RawData!B37</f>
        <v>797.64879535079535</v>
      </c>
      <c r="C111">
        <f>RawData!B46 + ((RawData!B45 - RawData!B46) * (1 / (1 + (POWER(RawData!B48 / A111, RawData!B47)))))</f>
        <v>798.74966088234964</v>
      </c>
    </row>
    <row r="112" spans="1:3">
      <c r="A112">
        <v>9.1116507222432698E-8</v>
      </c>
      <c r="B112">
        <f>((RawData!B36-RawData!B37)*(RawData!B39+A112+RawData!B38-SQRT(POWER(RawData!B39+A112+RawData!B38,2)-(4*RawData!B39*A112)))/(2*RawData!B39))+RawData!B37</f>
        <v>797.62049597035889</v>
      </c>
      <c r="C112">
        <f>RawData!B46 + ((RawData!B45 - RawData!B46) * (1 / (1 + (POWER(RawData!B48 / A112, RawData!B47)))))</f>
        <v>798.74966078797843</v>
      </c>
    </row>
    <row r="113" spans="1:3">
      <c r="A113">
        <v>8.5014707346953503E-8</v>
      </c>
      <c r="B113">
        <f>((RawData!B36-RawData!B37)*(RawData!B39+A113+RawData!B38-SQRT(POWER(RawData!B39+A113+RawData!B38,2)-(4*RawData!B39*A113)))/(2*RawData!B39))+RawData!B37</f>
        <v>797.59405089778727</v>
      </c>
      <c r="C113">
        <f>RawData!B46 + ((RawData!B45 - RawData!B46) * (1 / (1 + (POWER(RawData!B48 / A113, RawData!B47)))))</f>
        <v>798.74966071773599</v>
      </c>
    </row>
    <row r="114" spans="1:3">
      <c r="A114">
        <v>7.9321526753044294E-8</v>
      </c>
      <c r="B114">
        <f>((RawData!B36-RawData!B37)*(RawData!B39+A114+RawData!B38-SQRT(POWER(RawData!B39+A114+RawData!B38,2)-(4*RawData!B39*A114)))/(2*RawData!B39))+RawData!B37</f>
        <v>797.56934116013269</v>
      </c>
      <c r="C114">
        <f>RawData!B46 + ((RawData!B45 - RawData!B46) * (1 / (1 + (POWER(RawData!B48 / A114, RawData!B47)))))</f>
        <v>798.74966066545301</v>
      </c>
    </row>
    <row r="115" spans="1:3">
      <c r="A115">
        <v>7.4009601429974194E-8</v>
      </c>
      <c r="B115">
        <f>((RawData!B36-RawData!B37)*(RawData!B39+A115+RawData!B38-SQRT(POWER(RawData!B39+A115+RawData!B38,2)-(4*RawData!B39*A115)))/(2*RawData!B39))+RawData!B37</f>
        <v>797.54625509267976</v>
      </c>
      <c r="C115">
        <f>RawData!B46 + ((RawData!B45 - RawData!B46) * (1 / (1 + (POWER(RawData!B48 / A115, RawData!B47)))))</f>
        <v>798.74966062653766</v>
      </c>
    </row>
    <row r="116" spans="1:3">
      <c r="A116">
        <v>6.9053399852939898E-8</v>
      </c>
      <c r="B116">
        <f>((RawData!B36-RawData!B37)*(RawData!B39+A116+RawData!B38-SQRT(POWER(RawData!B39+A116+RawData!B38,2)-(4*RawData!B39*A116)))/(2*RawData!B39))+RawData!B37</f>
        <v>797.52468793213529</v>
      </c>
      <c r="C116">
        <f>RawData!B46 + ((RawData!B45 - RawData!B46) * (1 / (1 + (POWER(RawData!B48 / A116, RawData!B47)))))</f>
        <v>798.74966059757219</v>
      </c>
    </row>
    <row r="117" spans="1:3">
      <c r="A117">
        <v>6.4429100266965998E-8</v>
      </c>
      <c r="B117">
        <f>((RawData!B36-RawData!B37)*(RawData!B39+A117+RawData!B38-SQRT(POWER(RawData!B39+A117+RawData!B38,2)-(4*RawData!B39*A117)))/(2*RawData!B39))+RawData!B37</f>
        <v>797.50454142686249</v>
      </c>
      <c r="C117">
        <f>RawData!B46 + ((RawData!B45 - RawData!B46) * (1 / (1 + (POWER(RawData!B48 / A117, RawData!B47)))))</f>
        <v>798.7496605760125</v>
      </c>
    </row>
    <row r="118" spans="1:3">
      <c r="A118">
        <v>6.0114476188735098E-8</v>
      </c>
      <c r="B118">
        <f>((RawData!B36-RawData!B37)*(RawData!B39+A118+RawData!B38-SQRT(POWER(RawData!B39+A118+RawData!B38,2)-(4*RawData!B39*A118)))/(2*RawData!B39))+RawData!B37</f>
        <v>797.48572346425101</v>
      </c>
      <c r="C118">
        <f>RawData!B46 + ((RawData!B45 - RawData!B46) * (1 / (1 + (POWER(RawData!B48 / A118, RawData!B47)))))</f>
        <v>798.74966055996515</v>
      </c>
    </row>
    <row r="119" spans="1:3">
      <c r="A119">
        <v>5.6088789576017598E-8</v>
      </c>
      <c r="B119">
        <f>((RawData!B36-RawData!B37)*(RawData!B39+A119+RawData!B38-SQRT(POWER(RawData!B39+A119+RawData!B38,2)-(4*RawData!B39*A119)))/(2*RawData!B39))+RawData!B37</f>
        <v>797.46814771517143</v>
      </c>
      <c r="C119">
        <f>RawData!B46 + ((RawData!B45 - RawData!B46) * (1 / (1 + (POWER(RawData!B48 / A119, RawData!B47)))))</f>
        <v>798.74966054802087</v>
      </c>
    </row>
    <row r="120" spans="1:3">
      <c r="A120">
        <v>5.2332691151225702E-8</v>
      </c>
      <c r="B120">
        <f>((RawData!B36-RawData!B37)*(RawData!B39+A120+RawData!B38-SQRT(POWER(RawData!B39+A120+RawData!B38,2)-(4*RawData!B39*A120)))/(2*RawData!B39))+RawData!B37</f>
        <v>797.45173329530519</v>
      </c>
      <c r="C120">
        <f>RawData!B46 + ((RawData!B45 - RawData!B46) * (1 / (1 + (POWER(RawData!B48 / A120, RawData!B47)))))</f>
        <v>798.74966053913045</v>
      </c>
    </row>
    <row r="121" spans="1:3">
      <c r="A121">
        <v>4.8828127399999897E-8</v>
      </c>
      <c r="B121">
        <f>((RawData!B36-RawData!B37)*(RawData!B39+A121+RawData!B38-SQRT(POWER(RawData!B39+A121+RawData!B38,2)-(4*RawData!B39*A121)))/(2*RawData!B39))+RawData!B37</f>
        <v>797.43640444309131</v>
      </c>
      <c r="C121">
        <f>RawData!B46 + ((RawData!B45 - RawData!B46) * (1 / (1 + (POWER(RawData!B48 / A121, RawData!B47)))))</f>
        <v>798.74966053251308</v>
      </c>
    </row>
    <row r="122" spans="1:3">
      <c r="A122">
        <v>4.5558253797822902E-8</v>
      </c>
      <c r="B122">
        <f>((RawData!B36-RawData!B37)*(RawData!B39+A122+RawData!B38-SQRT(POWER(RawData!B39+A122+RawData!B38,2)-(4*RawData!B39*A122)))/(2*RawData!B39))+RawData!B37</f>
        <v>797.42209021390818</v>
      </c>
      <c r="C122">
        <f>RawData!B46 + ((RawData!B45 - RawData!B46) * (1 / (1 + (POWER(RawData!B48 / A122, RawData!B47)))))</f>
        <v>798.74966052758771</v>
      </c>
    </row>
    <row r="123" spans="1:3">
      <c r="A123">
        <v>4.2507353847586902E-8</v>
      </c>
      <c r="B123">
        <f>((RawData!B36-RawData!B37)*(RawData!B39+A123+RawData!B38-SQRT(POWER(RawData!B39+A123+RawData!B38,2)-(4*RawData!B39*A123)))/(2*RawData!B39))+RawData!B37</f>
        <v>797.40872419005882</v>
      </c>
      <c r="C123">
        <f>RawData!B46 + ((RawData!B45 - RawData!B46) * (1 / (1 + (POWER(RawData!B48 / A123, RawData!B47)))))</f>
        <v>798.74966052392153</v>
      </c>
    </row>
    <row r="124" spans="1:3">
      <c r="A124">
        <v>3.9660763538972597E-8</v>
      </c>
      <c r="B124">
        <f>((RawData!B36-RawData!B37)*(RawData!B39+A124+RawData!B38-SQRT(POWER(RawData!B39+A124+RawData!B38,2)-(4*RawData!B39*A124)))/(2*RawData!B39))+RawData!B37</f>
        <v>797.39624420608868</v>
      </c>
      <c r="C124">
        <f>RawData!B46 + ((RawData!B45 - RawData!B46) * (1 / (1 + (POWER(RawData!B48 / A124, RawData!B47)))))</f>
        <v>798.74966052119282</v>
      </c>
    </row>
    <row r="125" spans="1:3">
      <c r="A125">
        <v>3.70048008665587E-8</v>
      </c>
      <c r="B125">
        <f>((RawData!B36-RawData!B37)*(RawData!B39+A125+RawData!B38-SQRT(POWER(RawData!B39+A125+RawData!B38,2)-(4*RawData!B39*A125)))/(2*RawData!B39))+RawData!B37</f>
        <v>797.38459208890595</v>
      </c>
      <c r="C125">
        <f>RawData!B46 + ((RawData!B45 - RawData!B46) * (1 / (1 + (POWER(RawData!B48 / A125, RawData!B47)))))</f>
        <v>798.74966051916169</v>
      </c>
    </row>
    <row r="126" spans="1:3">
      <c r="A126">
        <v>3.4526700067891298E-8</v>
      </c>
      <c r="B126">
        <f>((RawData!B36-RawData!B37)*(RawData!B39+A126+RawData!B38-SQRT(POWER(RawData!B39+A126+RawData!B38,2)-(4*RawData!B39*A126)))/(2*RawData!B39))+RawData!B37</f>
        <v>797.3737134121684</v>
      </c>
      <c r="C126">
        <f>RawData!B46 + ((RawData!B45 - RawData!B46) * (1 / (1 + (POWER(RawData!B48 / A126, RawData!B47)))))</f>
        <v>798.74966051765</v>
      </c>
    </row>
    <row r="127" spans="1:3">
      <c r="A127">
        <v>3.2214550265433798E-8</v>
      </c>
      <c r="B127">
        <f>((RawData!B36-RawData!B37)*(RawData!B39+A127+RawData!B38-SQRT(POWER(RawData!B39+A127+RawData!B38,2)-(4*RawData!B39*A127)))/(2*RawData!B39))+RawData!B37</f>
        <v>797.36355726436659</v>
      </c>
      <c r="C127">
        <f>RawData!B46 + ((RawData!B45 - RawData!B46) * (1 / (1 + (POWER(RawData!B48 / A127, RawData!B47)))))</f>
        <v>798.74966051652473</v>
      </c>
    </row>
    <row r="128" spans="1:3">
      <c r="A128">
        <v>3.0057238217482001E-8</v>
      </c>
      <c r="B128">
        <f>((RawData!B36-RawData!B37)*(RawData!B39+A128+RawData!B38-SQRT(POWER(RawData!B39+A128+RawData!B38,2)-(4*RawData!B39*A128)))/(2*RawData!B39))+RawData!B37</f>
        <v>797.35407603003159</v>
      </c>
      <c r="C128">
        <f>RawData!B46 + ((RawData!B45 - RawData!B46) * (1 / (1 + (POWER(RawData!B48 / A128, RawData!B47)))))</f>
        <v>798.7496605156872</v>
      </c>
    </row>
    <row r="129" spans="1:3">
      <c r="A129">
        <v>2.80443949028786E-8</v>
      </c>
      <c r="B129">
        <f>((RawData!B36-RawData!B37)*(RawData!B39+A129+RawData!B38-SQRT(POWER(RawData!B39+A129+RawData!B38,2)-(4*RawData!B39*A129)))/(2*RawData!B39))+RawData!B37</f>
        <v>797.3452251834965</v>
      </c>
      <c r="C129">
        <f>RawData!B46 + ((RawData!B45 - RawData!B46) * (1 / (1 + (POWER(RawData!B48 / A129, RawData!B47)))))</f>
        <v>798.74966051506374</v>
      </c>
    </row>
    <row r="130" spans="1:3">
      <c r="A130">
        <v>2.61663456827902E-8</v>
      </c>
      <c r="B130">
        <f>((RawData!B36-RawData!B37)*(RawData!B39+A130+RawData!B38-SQRT(POWER(RawData!B39+A130+RawData!B38,2)-(4*RawData!B39*A130)))/(2*RawData!B39))+RawData!B37</f>
        <v>797.33696309461959</v>
      </c>
      <c r="C130">
        <f>RawData!B46 + ((RawData!B45 - RawData!B46) * (1 / (1 + (POWER(RawData!B48 / A130, RawData!B47)))))</f>
        <v>798.74966051459978</v>
      </c>
    </row>
    <row r="131" spans="1:3">
      <c r="A131">
        <v>2.44140638E-8</v>
      </c>
      <c r="B131">
        <f>((RawData!B36-RawData!B37)*(RawData!B39+A131+RawData!B38-SQRT(POWER(RawData!B39+A131+RawData!B38,2)-(4*RawData!B39*A131)))/(2*RawData!B39))+RawData!B37</f>
        <v>797.32925084592284</v>
      </c>
      <c r="C131">
        <f>RawData!B46 + ((RawData!B45 - RawData!B46) * (1 / (1 + (POWER(RawData!B48 / A131, RawData!B47)))))</f>
        <v>798.7496605142544</v>
      </c>
    </row>
    <row r="132" spans="1:3">
      <c r="A132">
        <v>2.27791269922148E-8</v>
      </c>
      <c r="B132">
        <f>((RawData!B36-RawData!B37)*(RawData!B39+A132+RawData!B38-SQRT(POWER(RawData!B39+A132+RawData!B38,2)-(4*RawData!B39*A132)))/(2*RawData!B39))+RawData!B37</f>
        <v>797.32205206055505</v>
      </c>
      <c r="C132">
        <f>RawData!B46 + ((RawData!B45 - RawData!B46) * (1 / (1 + (POWER(RawData!B48 / A132, RawData!B47)))))</f>
        <v>798.74966051399736</v>
      </c>
    </row>
    <row r="133" spans="1:3">
      <c r="A133">
        <v>2.1253677010848499E-8</v>
      </c>
      <c r="B133">
        <f>((RawData!B36-RawData!B37)*(RawData!B39+A133+RawData!B38-SQRT(POWER(RawData!B39+A133+RawData!B38,2)-(4*RawData!B39*A133)))/(2*RawData!B39))+RawData!B37</f>
        <v>797.31533274056483</v>
      </c>
      <c r="C133">
        <f>RawData!B46 + ((RawData!B45 - RawData!B46) * (1 / (1 + (POWER(RawData!B48 / A133, RawData!B47)))))</f>
        <v>798.74966051380602</v>
      </c>
    </row>
    <row r="134" spans="1:3">
      <c r="A134">
        <v>1.98303818507116E-8</v>
      </c>
      <c r="B134">
        <f>((RawData!B36-RawData!B37)*(RawData!B39+A134+RawData!B38-SQRT(POWER(RawData!B39+A134+RawData!B38,2)-(4*RawData!B39*A134)))/(2*RawData!B39))+RawData!B37</f>
        <v>797.3090611149172</v>
      </c>
      <c r="C134">
        <f>RawData!B46 + ((RawData!B45 - RawData!B46) * (1 / (1 + (POWER(RawData!B48 / A134, RawData!B47)))))</f>
        <v>798.74966051366357</v>
      </c>
    </row>
    <row r="135" spans="1:3">
      <c r="A135">
        <v>1.8502400509065201E-8</v>
      </c>
      <c r="B135">
        <f>((RawData!B36-RawData!B37)*(RawData!B39+A135+RawData!B38-SQRT(POWER(RawData!B39+A135+RawData!B38,2)-(4*RawData!B39*A135)))/(2*RawData!B39))+RawData!B37</f>
        <v>797.30320749676162</v>
      </c>
      <c r="C135">
        <f>RawData!B46 + ((RawData!B45 - RawData!B46) * (1 / (1 + (POWER(RawData!B48 / A135, RawData!B47)))))</f>
        <v>798.7496605135575</v>
      </c>
    </row>
    <row r="136" spans="1:3">
      <c r="A136">
        <v>1.72633501046563E-8</v>
      </c>
      <c r="B136">
        <f>((RawData!B36-RawData!B37)*(RawData!B39+A136+RawData!B38-SQRT(POWER(RawData!B39+A136+RawData!B38,2)-(4*RawData!B39*A136)))/(2*RawData!B39))+RawData!B37</f>
        <v>797.29774414943677</v>
      </c>
      <c r="C136">
        <f>RawData!B46 + ((RawData!B45 - RawData!B46) * (1 / (1 + (POWER(RawData!B48 / A136, RawData!B47)))))</f>
        <v>798.7496605134786</v>
      </c>
    </row>
    <row r="137" spans="1:3">
      <c r="A137">
        <v>1.6107275198692299E-8</v>
      </c>
      <c r="B137">
        <f>((RawData!B36-RawData!B37)*(RawData!B39+A137+RawData!B38-SQRT(POWER(RawData!B39+A137+RawData!B38,2)-(4*RawData!B39*A137)))/(2*RawData!B39))+RawData!B37</f>
        <v>797.29264516073499</v>
      </c>
      <c r="C137">
        <f>RawData!B46 + ((RawData!B45 - RawData!B46) * (1 / (1 + (POWER(RawData!B48 / A137, RawData!B47)))))</f>
        <v>798.74966051341994</v>
      </c>
    </row>
    <row r="138" spans="1:3">
      <c r="A138">
        <v>1.50286191702982E-8</v>
      </c>
      <c r="B138">
        <f>((RawData!B36-RawData!B37)*(RawData!B39+A138+RawData!B38-SQRT(POWER(RawData!B39+A138+RawData!B38,2)-(4*RawData!B39*A138)))/(2*RawData!B39))+RawData!B37</f>
        <v>797.28788632496503</v>
      </c>
      <c r="C138">
        <f>RawData!B46 + ((RawData!B45 - RawData!B46) * (1 / (1 + (POWER(RawData!B48 / A138, RawData!B47)))))</f>
        <v>798.74966051337617</v>
      </c>
    </row>
    <row r="139" spans="1:3">
      <c r="A139">
        <v>1.40221975088742E-8</v>
      </c>
      <c r="B139">
        <f>((RawData!B36-RawData!B37)*(RawData!B39+A139+RawData!B38-SQRT(POWER(RawData!B39+A139+RawData!B38,2)-(4*RawData!B39*A139)))/(2*RawData!B39))+RawData!B37</f>
        <v>797.28344503236872</v>
      </c>
      <c r="C139">
        <f>RawData!B46 + ((RawData!B45 - RawData!B46) * (1 / (1 + (POWER(RawData!B48 / A139, RawData!B47)))))</f>
        <v>798.74966051334366</v>
      </c>
    </row>
    <row r="140" spans="1:3">
      <c r="A140">
        <v>1.3083172894983801E-8</v>
      </c>
      <c r="B140">
        <f>((RawData!B36-RawData!B37)*(RawData!B39+A140+RawData!B38-SQRT(POWER(RawData!B39+A140+RawData!B38,2)-(4*RawData!B39*A140)))/(2*RawData!B39))+RawData!B37</f>
        <v>797.27930016546838</v>
      </c>
      <c r="C140">
        <f>RawData!B46 + ((RawData!B45 - RawData!B46) * (1 / (1 + (POWER(RawData!B48 / A140, RawData!B47)))))</f>
        <v>798.74966051331944</v>
      </c>
    </row>
    <row r="141" spans="1:3">
      <c r="A141">
        <v>1.2207031950000001E-8</v>
      </c>
      <c r="B141">
        <f>((RawData!B36-RawData!B37)*(RawData!B39+A141+RawData!B38-SQRT(POWER(RawData!B39+A141+RawData!B38,2)-(4*RawData!B39*A141)))/(2*RawData!B39))+RawData!B37</f>
        <v>797.27543200194555</v>
      </c>
      <c r="C141">
        <f>RawData!B46 + ((RawData!B45 - RawData!B46) * (1 / (1 + (POWER(RawData!B48 / A141, RawData!B47)))))</f>
        <v>798.74966051330148</v>
      </c>
    </row>
    <row r="142" spans="1:3">
      <c r="A142">
        <v>1.1389563542759E-8</v>
      </c>
      <c r="B142">
        <f>((RawData!B36-RawData!B37)*(RawData!B39+A142+RawData!B38-SQRT(POWER(RawData!B39+A142+RawData!B38,2)-(4*RawData!B39*A142)))/(2*RawData!B39))+RawData!B37</f>
        <v>797.27182212365733</v>
      </c>
      <c r="C142">
        <f>RawData!B46 + ((RawData!B45 - RawData!B46) * (1 / (1 + (POWER(RawData!B48 / A142, RawData!B47)))))</f>
        <v>798.74966051328806</v>
      </c>
    </row>
    <row r="143" spans="1:3">
      <c r="A143">
        <v>1.06268385489518E-8</v>
      </c>
      <c r="B143">
        <f>((RawData!B36-RawData!B37)*(RawData!B39+A143+RawData!B38-SQRT(POWER(RawData!B39+A143+RawData!B38,2)-(4*RawData!B39*A143)))/(2*RawData!B39))+RawData!B37</f>
        <v>797.26845333143478</v>
      </c>
      <c r="C143">
        <f>RawData!B46 + ((RawData!B45 - RawData!B46) * (1 / (1 + (POWER(RawData!B48 / A143, RawData!B47)))))</f>
        <v>798.74966051327806</v>
      </c>
    </row>
    <row r="144" spans="1:3">
      <c r="A144">
        <v>9.9151909659683994E-9</v>
      </c>
      <c r="B144">
        <f>((RawData!B36-RawData!B37)*(RawData!B39+A144+RawData!B38-SQRT(POWER(RawData!B39+A144+RawData!B38,2)-(4*RawData!B39*A144)))/(2*RawData!B39))+RawData!B37</f>
        <v>797.26530956531099</v>
      </c>
      <c r="C144">
        <f>RawData!B46 + ((RawData!B45 - RawData!B46) * (1 / (1 + (POWER(RawData!B48 / A144, RawData!B47)))))</f>
        <v>798.74966051327056</v>
      </c>
    </row>
    <row r="145" spans="1:3">
      <c r="A145">
        <v>9.2512002924255094E-9</v>
      </c>
      <c r="B145">
        <f>((RawData!B36-RawData!B37)*(RawData!B39+A145+RawData!B38-SQRT(POWER(RawData!B39+A145+RawData!B38,2)-(4*RawData!B39*A145)))/(2*RawData!B39))+RawData!B37</f>
        <v>797.2623758298563</v>
      </c>
      <c r="C145">
        <f>RawData!B46 + ((RawData!B45 - RawData!B46) * (1 / (1 + (POWER(RawData!B48 / A145, RawData!B47)))))</f>
        <v>798.7496605132651</v>
      </c>
    </row>
    <row r="146" spans="1:3">
      <c r="A146">
        <v>8.6316750876835005E-9</v>
      </c>
      <c r="B146">
        <f>((RawData!B36-RawData!B37)*(RawData!B39+A146+RawData!B38-SQRT(POWER(RawData!B39+A146+RawData!B38,2)-(4*RawData!B39*A146)))/(2*RawData!B39))+RawData!B37</f>
        <v>797.25963812429677</v>
      </c>
      <c r="C146">
        <f>RawData!B46 + ((RawData!B45 - RawData!B46) * (1 / (1 + (POWER(RawData!B48 / A146, RawData!B47)))))</f>
        <v>798.74966051326089</v>
      </c>
    </row>
    <row r="147" spans="1:3">
      <c r="A147">
        <v>8.0536376323338408E-9</v>
      </c>
      <c r="B147">
        <f>((RawData!B36-RawData!B37)*(RawData!B39+A147+RawData!B38-SQRT(POWER(RawData!B39+A147+RawData!B38,2)-(4*RawData!B39*A147)))/(2*RawData!B39))+RawData!B37</f>
        <v>797.25708337713854</v>
      </c>
      <c r="C147">
        <f>RawData!B46 + ((RawData!B45 - RawData!B46) * (1 / (1 + (POWER(RawData!B48 / A147, RawData!B47)))))</f>
        <v>798.74966051325782</v>
      </c>
    </row>
    <row r="148" spans="1:3">
      <c r="A148">
        <v>7.5143096159277099E-9</v>
      </c>
      <c r="B148">
        <f>((RawData!B36-RawData!B37)*(RawData!B39+A148+RawData!B38-SQRT(POWER(RawData!B39+A148+RawData!B38,2)-(4*RawData!B39*A148)))/(2*RawData!B39))+RawData!B37</f>
        <v>797.25469938500862</v>
      </c>
      <c r="C148">
        <f>RawData!B46 + ((RawData!B45 - RawData!B46) * (1 / (1 + (POWER(RawData!B48 / A148, RawData!B47)))))</f>
        <v>798.74966051325555</v>
      </c>
    </row>
    <row r="149" spans="1:3">
      <c r="A149">
        <v>7.0110987831545801E-9</v>
      </c>
      <c r="B149">
        <f>((RawData!B36-RawData!B37)*(RawData!B39+A149+RawData!B38-SQRT(POWER(RawData!B39+A149+RawData!B38,2)-(4*RawData!B39*A149)))/(2*RawData!B39))+RawData!B37</f>
        <v>797.25247475545291</v>
      </c>
      <c r="C149">
        <f>RawData!B46 + ((RawData!B45 - RawData!B46) * (1 / (1 + (POWER(RawData!B48 / A149, RawData!B47)))))</f>
        <v>798.74966051325384</v>
      </c>
    </row>
    <row r="150" spans="1:3">
      <c r="A150">
        <v>6.5415864742862201E-9</v>
      </c>
      <c r="B150">
        <f>((RawData!B36-RawData!B37)*(RawData!B39+A150+RawData!B38-SQRT(POWER(RawData!B39+A150+RawData!B38,2)-(4*RawData!B39*A150)))/(2*RawData!B39))+RawData!B37</f>
        <v>797.25039885344461</v>
      </c>
      <c r="C150">
        <f>RawData!B46 + ((RawData!B45 - RawData!B46) * (1 / (1 + (POWER(RawData!B48 / A150, RawData!B47)))))</f>
        <v>798.74966051325259</v>
      </c>
    </row>
    <row r="151" spans="1:3">
      <c r="A151">
        <v>6.1035159999999901E-9</v>
      </c>
      <c r="B151">
        <f>((RawData!B36-RawData!B37)*(RawData!B39+A151+RawData!B38-SQRT(POWER(RawData!B39+A151+RawData!B38,2)-(4*RawData!B39*A151)))/(2*RawData!B39))+RawData!B37</f>
        <v>797.24846175137066</v>
      </c>
      <c r="C151">
        <f>RawData!B46 + ((RawData!B45 - RawData!B46) * (1 / (1 + (POWER(RawData!B48 / A151, RawData!B47)))))</f>
        <v>798.74966051325168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Miles, Uri Z</cp:lastModifiedBy>
  <cp:revision/>
  <dcterms:created xsi:type="dcterms:W3CDTF">2025-05-20T20:36:14Z</dcterms:created>
  <dcterms:modified xsi:type="dcterms:W3CDTF">2025-05-20T20:36:14Z</dcterms:modified>
  <cp:category/>
  <cp:contentStatus/>
</cp:coreProperties>
</file>